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gtel\Desktop\Projetos\Pessoais\Projeto Alexandre\"/>
    </mc:Choice>
  </mc:AlternateContent>
  <bookViews>
    <workbookView xWindow="0" yWindow="0" windowWidth="28800" windowHeight="12210"/>
  </bookViews>
  <sheets>
    <sheet name="Dados" sheetId="1" r:id="rId1"/>
    <sheet name="Respostas" sheetId="2" r:id="rId2"/>
  </sheets>
  <definedNames>
    <definedName name="_xlnm._FilterDatabase" localSheetId="0" hidden="1">Dados!$A$22:$A$64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6" i="1"/>
  <c r="H27" i="1"/>
  <c r="H28" i="1"/>
  <c r="H29" i="1"/>
  <c r="H30" i="1"/>
  <c r="H31" i="1"/>
  <c r="H32" i="1"/>
  <c r="H24" i="1"/>
  <c r="H23" i="1"/>
</calcChain>
</file>

<file path=xl/comments1.xml><?xml version="1.0" encoding="utf-8"?>
<comments xmlns="http://schemas.openxmlformats.org/spreadsheetml/2006/main">
  <authors>
    <author>xanteles@hotmail.com</author>
    <author>Alexandre</author>
  </authors>
  <commentList>
    <comment ref="A30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Quem atua no processo é o irmão, Ademir Marim</t>
        </r>
      </text>
    </comment>
    <comment ref="E31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-Recurso de Agravo de Instrumento para garantir gratuidade de justiça
- Contrarrazões de Apelação</t>
        </r>
      </text>
    </comment>
    <comment ref="B32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0809414-32.2024.8.07.0016
(Falência) - TJDFT</t>
        </r>
      </text>
    </comment>
    <comment ref="E32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- Recurso de Agravo de Instrumento para incidir a multa do acordo em razão de descumprimento pela ré</t>
        </r>
      </text>
    </comment>
    <comment ref="L36" authorId="1" shapeId="0">
      <text>
        <r>
          <rPr>
            <b/>
            <sz val="9"/>
            <color indexed="81"/>
            <rFont val="Segoe UI"/>
            <charset val="1"/>
          </rPr>
          <t>Alexandre:</t>
        </r>
        <r>
          <rPr>
            <sz val="9"/>
            <color indexed="81"/>
            <rFont val="Segoe UI"/>
            <charset val="1"/>
          </rPr>
          <t xml:space="preserve">
Pago R$ 1.200,00 em 13/03/2025</t>
        </r>
      </text>
    </comment>
    <comment ref="K38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Foi paga uma parcela de R$ 1.921,40
Foi paga uma parcela de R$ 2.000,00 (11/04/2025)</t>
        </r>
      </text>
    </comment>
    <comment ref="N40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Só a de Cognição foi emitida.</t>
        </r>
      </text>
    </comment>
    <comment ref="D43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Agravo em recurso inominado para justiça gratuita</t>
        </r>
      </text>
    </comment>
    <comment ref="B45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RESP 2406368 
(3ª Turma)</t>
        </r>
      </text>
    </comment>
    <comment ref="B46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Defesa iniciada em 08/04/2024 (Parceria Edu)</t>
        </r>
      </text>
    </comment>
    <comment ref="K46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06/02/2024: R$ 500,00
06/06/2024: R$ 250,00
05/07/2024: R$ 250,00
06/08/2024: R$ 250,00
05/09/2024: R$ 250,00
06/10/2024: R$ 250,00
08/11/2024: R$ 250,00
07/12/2024: R$ 250,00
07/01/2025: R$ 250,00
07/02/2025: R$ 250,00
06/03/2025: R$ 250,00
07/04/2025: R$ 250,00
08/05/2025: R$ 250,00
09/06/2025: R$ 250,00
05/07/2025: R$ 250,00
07/08/2025: R$ 250,00
06/09/2025: R$ 250,00
07/10/2025: R$ 250,00
06/11/2025: R$ 250,00</t>
        </r>
      </text>
    </comment>
    <comment ref="E51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Houve Contrarrazões em Apelação</t>
        </r>
      </text>
    </comment>
    <comment ref="N54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Cartório solicitou custas para desarquivar.
Não emitida, pois não pagamos.</t>
        </r>
      </text>
    </comment>
    <comment ref="B55" authorId="1" shapeId="0">
      <text>
        <r>
          <rPr>
            <b/>
            <sz val="9"/>
            <color indexed="81"/>
            <rFont val="Segoe UI"/>
            <charset val="1"/>
          </rPr>
          <t>Alexandre: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sz val="12"/>
            <color indexed="81"/>
            <rFont val="Segoe UI"/>
            <family val="2"/>
          </rPr>
          <t>5001830-84.2024.4.03.6100 
(em grau de Recurso)</t>
        </r>
      </text>
    </comment>
    <comment ref="B60" authorId="1" shapeId="0">
      <text>
        <r>
          <rPr>
            <b/>
            <sz val="9"/>
            <color indexed="81"/>
            <rFont val="Segoe UI"/>
            <charset val="1"/>
          </rPr>
          <t>Alexandre:</t>
        </r>
        <r>
          <rPr>
            <sz val="9"/>
            <color indexed="81"/>
            <rFont val="Segoe UI"/>
            <charset val="1"/>
          </rPr>
          <t xml:space="preserve">
Cump. Sent. 0003141-38.2025.8.26.0006</t>
        </r>
      </text>
    </comment>
    <comment ref="B64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Cognição de nº
0007586-44.2021.8.26.0005 (não atuamos em cognição, só vista dos autos).</t>
        </r>
      </text>
    </comment>
    <comment ref="E70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70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Falta pagar a DPE pagar o recurso.</t>
        </r>
      </text>
    </comment>
    <comment ref="B73" authorId="0" shapeId="0">
      <text>
        <r>
          <rPr>
            <b/>
            <sz val="9"/>
            <color indexed="81"/>
            <rFont val="Segoe UI"/>
            <family val="2"/>
          </rPr>
          <t>xanteles@hotmail.com:</t>
        </r>
        <r>
          <rPr>
            <sz val="9"/>
            <color indexed="81"/>
            <rFont val="Segoe UI"/>
            <family val="2"/>
          </rPr>
          <t xml:space="preserve">
IP nº 1500782-8.26.2024.8.26.0587</t>
        </r>
      </text>
    </comment>
    <comment ref="B74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IP nº: 1500569-14.2020.8.26.0587</t>
        </r>
      </text>
    </comment>
    <comment ref="J76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Uma parcela de 600 e outra de 400.
</t>
        </r>
      </text>
    </comment>
    <comment ref="E77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Carta Precatória 130/2023
NCP 1187/2023 - Mogi das Cruzes</t>
        </r>
      </text>
    </comment>
    <comment ref="I78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Edmar pagou R$ 4.000,00</t>
        </r>
      </text>
    </comment>
    <comment ref="A79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Parceria com Moacyr Colli Jr.</t>
        </r>
      </text>
    </comment>
    <comment ref="B79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Processo Civel nº 1000886-98.2022.8.26.0587</t>
        </r>
      </text>
    </comment>
    <comment ref="I79" authorId="0" shapeId="0">
      <text>
        <r>
          <rPr>
            <b/>
            <sz val="9"/>
            <color indexed="81"/>
            <rFont val="Segoe UI"/>
            <charset val="1"/>
          </rPr>
          <t>xanteles@hotmail.com:</t>
        </r>
        <r>
          <rPr>
            <sz val="9"/>
            <color indexed="81"/>
            <rFont val="Segoe UI"/>
            <charset val="1"/>
          </rPr>
          <t xml:space="preserve">
O valor cobrado foi de R$ 15.000,00. Metade do valor foi parcelado em três vezes (a primeira foi para Alexandre e a segunda vai para o Moacyr. A terceira será dividida entre Alexandre e Moacyr).
O restante será pago de que forma?</t>
        </r>
      </text>
    </comment>
    <comment ref="B82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Anterior:
4003831-14.2025.8.26.0001
(Santana). Vieira optou por sair.</t>
        </r>
      </text>
    </comment>
    <comment ref="H85" authorId="1" shapeId="0">
      <text>
        <r>
          <rPr>
            <b/>
            <sz val="9"/>
            <color indexed="81"/>
            <rFont val="Segoe UI"/>
            <charset val="1"/>
          </rPr>
          <t>Alexandre:</t>
        </r>
        <r>
          <rPr>
            <sz val="9"/>
            <color indexed="81"/>
            <rFont val="Segoe UI"/>
            <charset val="1"/>
          </rPr>
          <t xml:space="preserve">
Pago por Mayara Carpanezi</t>
        </r>
      </text>
    </comment>
    <comment ref="M85" authorId="1" shapeId="0">
      <text>
        <r>
          <rPr>
            <b/>
            <sz val="9"/>
            <color indexed="81"/>
            <rFont val="Segoe UI"/>
            <charset val="1"/>
          </rPr>
          <t>Alexandre:</t>
        </r>
        <r>
          <rPr>
            <sz val="9"/>
            <color indexed="81"/>
            <rFont val="Segoe UI"/>
            <charset val="1"/>
          </rPr>
          <t xml:space="preserve">
Caso encerrado.
Desligamento feito a pedido de Mayara Carpanezi.</t>
        </r>
      </text>
    </comment>
    <comment ref="B87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1º e 2º Grau. 0008137-85.2025.8.26.0004</t>
        </r>
      </text>
    </comment>
    <comment ref="N87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Falta pedir a do Cumprimento de Sentença</t>
        </r>
      </text>
    </comment>
    <comment ref="C90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Distribuída originalmente para o JECRIM Barra Funda. Penha incompetente (não tem Vara do JECRIM). Competência material.</t>
        </r>
      </text>
    </comment>
    <comment ref="H91" authorId="1" shapeId="0">
      <text>
        <r>
          <rPr>
            <b/>
            <sz val="9"/>
            <color indexed="81"/>
            <rFont val="Segoe UI"/>
            <charset val="1"/>
          </rPr>
          <t>Alexandre:</t>
        </r>
        <r>
          <rPr>
            <sz val="9"/>
            <color indexed="81"/>
            <rFont val="Segoe UI"/>
            <charset val="1"/>
          </rPr>
          <t xml:space="preserve">
Pago por Criterium Negócios Imobiliários</t>
        </r>
      </text>
    </comment>
    <comment ref="K95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Pagou R$ 1.000,00 (07/11/2025)
Pagou R$ 1.000,00 (05/12/2025)
Pagou R$ 1.000,00 (08/01/2026)</t>
        </r>
      </text>
    </comment>
    <comment ref="K98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Pagou R$ 1.000,00 (06/02/2026)</t>
        </r>
      </text>
    </comment>
    <comment ref="K99" authorId="1" shapeId="0">
      <text>
        <r>
          <rPr>
            <b/>
            <sz val="9"/>
            <color indexed="81"/>
            <rFont val="Segoe UI"/>
            <family val="2"/>
          </rPr>
          <t>Alexandre:</t>
        </r>
        <r>
          <rPr>
            <sz val="9"/>
            <color indexed="81"/>
            <rFont val="Segoe UI"/>
            <family val="2"/>
          </rPr>
          <t xml:space="preserve">
Pagou R$ 2.000,00 (09/02/2026)</t>
        </r>
      </text>
    </comment>
  </commentList>
</comments>
</file>

<file path=xl/sharedStrings.xml><?xml version="1.0" encoding="utf-8"?>
<sst xmlns="http://schemas.openxmlformats.org/spreadsheetml/2006/main" count="172" uniqueCount="103">
  <si>
    <t>%</t>
  </si>
  <si>
    <t>Pagamento</t>
  </si>
  <si>
    <t>Pago</t>
  </si>
  <si>
    <t>Pendente</t>
  </si>
  <si>
    <t>Resolvido</t>
  </si>
  <si>
    <t>PARCELADO</t>
  </si>
  <si>
    <t>Parcelas</t>
  </si>
  <si>
    <t>STATUS PAGAMENTO</t>
  </si>
  <si>
    <t>STATUS AÇÃO</t>
  </si>
  <si>
    <t>Em andamento</t>
  </si>
  <si>
    <t>2x</t>
  </si>
  <si>
    <t>3x</t>
  </si>
  <si>
    <t>4x</t>
  </si>
  <si>
    <t>6x</t>
  </si>
  <si>
    <t>7x</t>
  </si>
  <si>
    <t>8x</t>
  </si>
  <si>
    <t>9x</t>
  </si>
  <si>
    <t>10x</t>
  </si>
  <si>
    <t>11x</t>
  </si>
  <si>
    <t>12x</t>
  </si>
  <si>
    <t>5x</t>
  </si>
  <si>
    <t>PARCELAS</t>
  </si>
  <si>
    <t>Sim</t>
  </si>
  <si>
    <t>Não</t>
  </si>
  <si>
    <t>Razão do Contrato</t>
  </si>
  <si>
    <t xml:space="preserve">% </t>
  </si>
  <si>
    <t>Valor (%)</t>
  </si>
  <si>
    <t>Valor Fixo</t>
  </si>
  <si>
    <t>Conversão</t>
  </si>
  <si>
    <t>Valor (Fixo ou Parcelados)</t>
  </si>
  <si>
    <t>P/Adimplidas</t>
  </si>
  <si>
    <t>Pagamento na vitória</t>
  </si>
  <si>
    <t>Pagamento ao final</t>
  </si>
  <si>
    <t>Pro bono</t>
  </si>
  <si>
    <t>P/Parcelado N/Completado</t>
  </si>
  <si>
    <t>Proveito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</si>
  <si>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</si>
  <si>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</si>
  <si>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</si>
  <si>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</si>
  <si>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</si>
  <si>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</si>
  <si>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</si>
  <si>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</si>
  <si>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</si>
  <si>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22x</t>
  </si>
  <si>
    <t>23x</t>
  </si>
  <si>
    <t>24x</t>
  </si>
  <si>
    <t>Status Ação</t>
  </si>
  <si>
    <t>1058316-46.2024.8.26.0002</t>
  </si>
  <si>
    <t>Dairo Ribeiro</t>
  </si>
  <si>
    <t>1084513-69.2023.8.26.0100</t>
  </si>
  <si>
    <t>Dilson Saltoratto</t>
  </si>
  <si>
    <t>0001158-65.2022.8.26.0052</t>
  </si>
  <si>
    <t>Eliton Alencar de Oliveira</t>
  </si>
  <si>
    <t>Processo com Marcos Luiz</t>
  </si>
  <si>
    <t>1000732-45.2022.8.26.0534</t>
  </si>
  <si>
    <t>Rogério Burgarelli</t>
  </si>
  <si>
    <t>1017323-49.2024.8.26.0005</t>
  </si>
  <si>
    <t>1000933-04.2024.8.26.0005</t>
  </si>
  <si>
    <t>Vara</t>
  </si>
  <si>
    <t>Vara Única Santa Branca</t>
  </si>
  <si>
    <t>Atuação</t>
  </si>
  <si>
    <t>Nome do Contratante</t>
  </si>
  <si>
    <t>Mary Angela Uladislau</t>
  </si>
  <si>
    <t>Aline Uladislau</t>
  </si>
  <si>
    <t>Arrolamento Sumário</t>
  </si>
  <si>
    <t>Divórcio</t>
  </si>
  <si>
    <t>Restituição de Arma</t>
  </si>
  <si>
    <t>Execução de Título Extrajudicial</t>
  </si>
  <si>
    <t>Regularização de veículo (moto)</t>
  </si>
  <si>
    <t>Alessandro Aragão</t>
  </si>
  <si>
    <t>1005290-27.2024.8.26.0005</t>
  </si>
  <si>
    <t>Danos por acidente veicular</t>
  </si>
  <si>
    <t>Processo completo (acordo)</t>
  </si>
  <si>
    <t>1001204-47.2023.8.26.0005</t>
  </si>
  <si>
    <t>Necessidade de interdição</t>
  </si>
  <si>
    <t>Processo completo</t>
  </si>
  <si>
    <t>0013125-20.2023.8.26.0005</t>
  </si>
  <si>
    <t>1026467-18.2022.8.26.0005</t>
  </si>
  <si>
    <t>José Reginaldo Menezes</t>
  </si>
  <si>
    <t>Ação de Indenização</t>
  </si>
  <si>
    <t>Processo completo c/ Recursos</t>
  </si>
  <si>
    <t>Cumprimento de Sentença</t>
  </si>
  <si>
    <t>Processo Completo</t>
  </si>
  <si>
    <t>Negociação de Acordo e Execução</t>
  </si>
  <si>
    <t>6ª CÍVEL (João Mendes)</t>
  </si>
  <si>
    <t>12ª Faz. Púb. (Central)</t>
  </si>
  <si>
    <t>4ª Júri (Barra Funda)</t>
  </si>
  <si>
    <t>3ª Fam. Suc. (S.M.P.)</t>
  </si>
  <si>
    <t>3ª Fam. Suc. (S.M P.)</t>
  </si>
  <si>
    <t>1ª JEC (S.M.P.)</t>
  </si>
  <si>
    <t>1ª Fam. Suc. (S.M.P.)</t>
  </si>
  <si>
    <t>3ª Cível (S.M.P.)</t>
  </si>
  <si>
    <t>Andrea Marim</t>
  </si>
  <si>
    <t/>
  </si>
  <si>
    <t>N° da Ação (CNJ)</t>
  </si>
  <si>
    <t>1x</t>
  </si>
  <si>
    <t>Certidão de Prática</t>
  </si>
  <si>
    <t>CERTIDÃO DE PRÁTICA</t>
  </si>
  <si>
    <t>Emitida</t>
  </si>
  <si>
    <t>Solicitada</t>
  </si>
  <si>
    <t>Não-solicitada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</si>
</sst>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R$-416]\ * #,##0.00_-;\-[$R$-416]\ * #,##0.00_-;_-[$R$-416]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mbria"/>
      <family val="1"/>
    </font>
    <font>
      <b/>
      <sz val="12"/>
      <color theme="0"/>
      <name val="Cambria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2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21354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7" fillId="4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9" fillId="0" borderId="9" xfId="0" quotePrefix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0" fontId="9" fillId="0" borderId="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6" borderId="11" xfId="1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0" fontId="9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6" borderId="3" xfId="1" applyFont="1" applyFill="1" applyBorder="1" applyAlignment="1">
      <alignment horizontal="center" vertical="center"/>
    </xf>
    <xf numFmtId="0" fontId="9" fillId="6" borderId="3" xfId="3" applyFont="1" applyFill="1" applyBorder="1" applyAlignment="1">
      <alignment horizontal="center" vertical="center"/>
    </xf>
    <xf numFmtId="0" fontId="9" fillId="0" borderId="11" xfId="0" quotePrefix="1" applyFont="1" applyBorder="1" applyAlignment="1">
      <alignment horizontal="center" vertical="center"/>
    </xf>
    <xf numFmtId="0" fontId="9" fillId="0" borderId="14" xfId="0" quotePrefix="1" applyFont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9" xfId="0" quotePrefix="1" applyFont="1" applyFill="1" applyBorder="1" applyAlignment="1">
      <alignment horizontal="center" vertical="center"/>
    </xf>
    <xf numFmtId="0" fontId="9" fillId="7" borderId="11" xfId="0" quotePrefix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10" fontId="9" fillId="7" borderId="11" xfId="0" applyNumberFormat="1" applyFont="1" applyFill="1" applyBorder="1" applyAlignment="1">
      <alignment horizontal="center" vertical="center"/>
    </xf>
    <xf numFmtId="164" fontId="9" fillId="7" borderId="11" xfId="0" applyNumberFormat="1" applyFont="1" applyFill="1" applyBorder="1" applyAlignment="1">
      <alignment horizontal="center" vertical="center"/>
    </xf>
    <xf numFmtId="164" fontId="9" fillId="7" borderId="8" xfId="0" applyNumberFormat="1" applyFont="1" applyFill="1" applyBorder="1" applyAlignment="1">
      <alignment horizontal="center" vertical="center"/>
    </xf>
    <xf numFmtId="0" fontId="9" fillId="7" borderId="13" xfId="0" applyFont="1" applyFill="1" applyBorder="1" applyAlignment="1" applyProtection="1">
      <alignment horizontal="center" vertical="center"/>
      <protection locked="0"/>
    </xf>
    <xf numFmtId="0" fontId="9" fillId="7" borderId="19" xfId="0" applyFont="1" applyFill="1" applyBorder="1" applyAlignment="1" applyProtection="1">
      <alignment horizontal="center" vertical="center"/>
      <protection locked="0"/>
    </xf>
    <xf numFmtId="0" fontId="9" fillId="0" borderId="11" xfId="1" applyFont="1" applyFill="1" applyBorder="1" applyAlignment="1">
      <alignment horizontal="center" vertical="center"/>
    </xf>
    <xf numFmtId="0" fontId="9" fillId="0" borderId="12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9" xfId="0" quotePrefix="1" applyFont="1" applyFill="1" applyBorder="1" applyAlignment="1">
      <alignment horizontal="center" vertical="center"/>
    </xf>
    <xf numFmtId="0" fontId="9" fillId="8" borderId="11" xfId="0" quotePrefix="1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10" fontId="9" fillId="8" borderId="11" xfId="0" applyNumberFormat="1" applyFont="1" applyFill="1" applyBorder="1" applyAlignment="1">
      <alignment horizontal="center" vertical="center"/>
    </xf>
    <xf numFmtId="164" fontId="9" fillId="8" borderId="11" xfId="0" applyNumberFormat="1" applyFont="1" applyFill="1" applyBorder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0" fontId="9" fillId="8" borderId="13" xfId="0" applyFont="1" applyFill="1" applyBorder="1" applyAlignment="1" applyProtection="1">
      <alignment horizontal="center" vertical="center"/>
      <protection locked="0"/>
    </xf>
    <xf numFmtId="0" fontId="9" fillId="8" borderId="5" xfId="0" applyFont="1" applyFill="1" applyBorder="1" applyAlignment="1" applyProtection="1">
      <alignment horizontal="center" vertical="center"/>
      <protection locked="0"/>
    </xf>
    <xf numFmtId="0" fontId="9" fillId="8" borderId="0" xfId="0" applyFont="1" applyFill="1" applyAlignment="1">
      <alignment horizontal="center"/>
    </xf>
    <xf numFmtId="0" fontId="9" fillId="8" borderId="2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9" xfId="0" quotePrefix="1" applyFont="1" applyFill="1" applyBorder="1" applyAlignment="1">
      <alignment horizontal="center" vertical="center"/>
    </xf>
    <xf numFmtId="0" fontId="9" fillId="6" borderId="11" xfId="0" quotePrefix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164" fontId="9" fillId="6" borderId="11" xfId="0" applyNumberFormat="1" applyFont="1" applyFill="1" applyBorder="1" applyAlignment="1">
      <alignment horizontal="center" vertical="center"/>
    </xf>
    <xf numFmtId="164" fontId="9" fillId="6" borderId="8" xfId="0" applyNumberFormat="1" applyFont="1" applyFill="1" applyBorder="1" applyAlignment="1">
      <alignment horizontal="center" vertical="center"/>
    </xf>
    <xf numFmtId="0" fontId="9" fillId="6" borderId="13" xfId="0" applyFont="1" applyFill="1" applyBorder="1" applyAlignment="1" applyProtection="1">
      <alignment horizontal="center" vertical="center"/>
      <protection locked="0"/>
    </xf>
    <xf numFmtId="0" fontId="9" fillId="6" borderId="5" xfId="0" applyFont="1" applyFill="1" applyBorder="1" applyAlignment="1" applyProtection="1">
      <alignment horizontal="center" vertical="center"/>
      <protection locked="0"/>
    </xf>
    <xf numFmtId="0" fontId="9" fillId="6" borderId="17" xfId="0" applyFont="1" applyFill="1" applyBorder="1" applyAlignment="1" applyProtection="1">
      <alignment horizontal="center" vertical="center"/>
      <protection locked="0"/>
    </xf>
    <xf numFmtId="0" fontId="9" fillId="6" borderId="19" xfId="0" applyFont="1" applyFill="1" applyBorder="1" applyAlignment="1" applyProtection="1">
      <alignment horizontal="center" vertical="center"/>
      <protection locked="0"/>
    </xf>
    <xf numFmtId="0" fontId="9" fillId="6" borderId="2" xfId="0" applyFont="1" applyFill="1" applyBorder="1" applyAlignment="1">
      <alignment horizontal="center" vertical="center"/>
    </xf>
    <xf numFmtId="0" fontId="9" fillId="6" borderId="10" xfId="0" quotePrefix="1" applyFont="1" applyFill="1" applyBorder="1" applyAlignment="1">
      <alignment horizontal="center" vertical="center"/>
    </xf>
    <xf numFmtId="0" fontId="9" fillId="6" borderId="3" xfId="0" quotePrefix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10" fontId="9" fillId="6" borderId="3" xfId="0" applyNumberFormat="1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 applyProtection="1">
      <alignment horizontal="center" vertical="center"/>
      <protection locked="0"/>
    </xf>
  </cellXfs>
  <cellStyles count="4">
    <cellStyle name="Bom" xfId="1" builtinId="26"/>
    <cellStyle name="Incorreto" xfId="2" builtinId="27"/>
    <cellStyle name="Neutra" xfId="3" builtinId="28"/>
    <cellStyle name="Normal" xfId="0" builtinId="0"/>
  </cellStyles>
  <dxfs count="4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FCE"/>
      <color rgb="FF006100"/>
      <color rgb="FF9C0006"/>
      <color rgb="FFFFC7CE"/>
      <color rgb="FF9C6500"/>
      <color rgb="FFFFEB9C"/>
      <color rgb="FF2135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672660</xdr:colOff>
      <xdr:row>18</xdr:row>
      <xdr:rowOff>148602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700302" cy="3577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32"/>
  <sheetViews>
    <sheetView showGridLines="0" tabSelected="1" topLeftCell="A10" zoomScaleNormal="100" workbookViewId="0">
      <selection activeCell="D38" sqref="D38"/>
    </sheetView>
  </sheetViews>
  <sheetFormatPr defaultRowHeight="15" x14ac:dyDescent="0.25"/>
  <cols>
    <col min="1" max="1" width="26.7109375" style="6" customWidth="1"/>
    <col min="2" max="2" width="30.7109375" style="6" customWidth="1"/>
    <col min="3" max="4" width="35.7109375" style="14" customWidth="1"/>
    <col min="5" max="5" width="45.85546875" style="6" customWidth="1"/>
    <col min="6" max="6" width="9.140625" style="6"/>
    <col min="7" max="7" width="19.140625" style="6" customWidth="1"/>
    <col min="8" max="8" width="15.7109375" style="6" customWidth="1"/>
    <col min="9" max="9" width="21.5703125" style="6" customWidth="1"/>
    <col min="10" max="10" width="17.42578125" style="6" customWidth="1"/>
    <col min="11" max="11" width="17.85546875" style="6" customWidth="1"/>
    <col min="12" max="12" width="26.7109375" style="6" customWidth="1"/>
    <col min="13" max="13" width="29" style="6" customWidth="1"/>
    <col min="14" max="14" width="29" style="52" customWidth="1"/>
    <col min="15" max="16384" width="9.140625" style="1"/>
  </cols>
  <sheetData>
    <row r="1" spans="1:34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2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x14ac:dyDescent="0.25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x14ac:dyDescent="0.25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16" spans="1:34" s="6" customFormat="1" x14ac:dyDescent="0.25">
      <c r="C16" s="14"/>
      <c r="D16" s="14"/>
      <c r="N16" s="52"/>
    </row>
    <row r="17" spans="1:22" s="6" customFormat="1" x14ac:dyDescent="0.25">
      <c r="C17" s="14"/>
      <c r="D17" s="14"/>
      <c r="N17" s="52"/>
    </row>
    <row r="18" spans="1:22" s="6" customFormat="1" x14ac:dyDescent="0.25">
      <c r="C18" s="14"/>
      <c r="D18" s="14"/>
      <c r="N18" s="52"/>
    </row>
    <row r="19" spans="1:22" s="6" customFormat="1" x14ac:dyDescent="0.25">
      <c r="C19" s="14"/>
      <c r="D19" s="14"/>
      <c r="N19" s="52"/>
    </row>
    <row r="20" spans="1:22" s="6" customFormat="1" x14ac:dyDescent="0.25">
      <c r="C20" s="14"/>
      <c r="D20" s="14"/>
      <c r="N20" s="52"/>
    </row>
    <row r="21" spans="1:22" s="6" customFormat="1" ht="15.75" x14ac:dyDescent="0.25">
      <c r="C21" s="14"/>
      <c r="D21" s="14"/>
      <c r="F21" s="66" t="s">
        <v>26</v>
      </c>
      <c r="G21" s="66"/>
      <c r="H21" s="66"/>
      <c r="I21" s="67" t="s">
        <v>29</v>
      </c>
      <c r="J21" s="68"/>
      <c r="K21" s="68"/>
      <c r="N21" s="52"/>
      <c r="O21" s="3"/>
      <c r="P21" s="3"/>
      <c r="Q21" s="3"/>
      <c r="R21" s="3"/>
      <c r="S21" s="3"/>
      <c r="T21" s="3"/>
      <c r="U21" s="3"/>
      <c r="V21" s="3"/>
    </row>
    <row r="22" spans="1:22" ht="15.75" x14ac:dyDescent="0.25">
      <c r="A22" s="17" t="s">
        <v>63</v>
      </c>
      <c r="B22" s="18" t="s">
        <v>96</v>
      </c>
      <c r="C22" s="17" t="s">
        <v>60</v>
      </c>
      <c r="D22" s="17" t="s">
        <v>24</v>
      </c>
      <c r="E22" s="17" t="s">
        <v>62</v>
      </c>
      <c r="F22" s="17" t="s">
        <v>0</v>
      </c>
      <c r="G22" s="17" t="s">
        <v>35</v>
      </c>
      <c r="H22" s="18" t="s">
        <v>28</v>
      </c>
      <c r="I22" s="17" t="s">
        <v>27</v>
      </c>
      <c r="J22" s="17" t="s">
        <v>6</v>
      </c>
      <c r="K22" s="17" t="s">
        <v>30</v>
      </c>
      <c r="L22" s="17" t="s">
        <v>1</v>
      </c>
      <c r="M22" s="17" t="s">
        <v>48</v>
      </c>
      <c r="N22" s="53" t="s">
        <v>98</v>
      </c>
    </row>
    <row r="23" spans="1:22" ht="15.75" x14ac:dyDescent="0.25">
      <c r="A23" s="19" t="s">
        <v>50</v>
      </c>
      <c r="B23" s="15" t="s">
        <v>49</v>
      </c>
      <c r="C23" s="38" t="s">
        <v>87</v>
      </c>
      <c r="D23" s="38" t="s">
        <v>70</v>
      </c>
      <c r="E23" s="20" t="s">
        <v>77</v>
      </c>
      <c r="F23" s="21"/>
      <c r="G23" s="22"/>
      <c r="H23" s="23">
        <f>G23*(F23*1)</f>
        <v>0</v>
      </c>
      <c r="I23" s="22"/>
      <c r="J23" s="24"/>
      <c r="K23" s="25"/>
      <c r="L23" s="26" t="s">
        <v>33</v>
      </c>
      <c r="M23" s="27" t="s">
        <v>4</v>
      </c>
      <c r="N23" s="27" t="s">
        <v>101</v>
      </c>
    </row>
    <row r="24" spans="1:22" ht="15.75" x14ac:dyDescent="0.25">
      <c r="A24" s="54" t="s">
        <v>52</v>
      </c>
      <c r="B24" s="63" t="s">
        <v>51</v>
      </c>
      <c r="C24" s="64" t="s">
        <v>86</v>
      </c>
      <c r="D24" s="64" t="s">
        <v>69</v>
      </c>
      <c r="E24" s="57" t="s">
        <v>85</v>
      </c>
      <c r="F24" s="58">
        <v>0.1</v>
      </c>
      <c r="G24" s="59">
        <v>38699.199999999997</v>
      </c>
      <c r="H24" s="60">
        <f>G24*(F24*1)</f>
        <v>3869.92</v>
      </c>
      <c r="I24" s="59"/>
      <c r="J24" s="61"/>
      <c r="K24" s="61"/>
      <c r="L24" s="26" t="s">
        <v>2</v>
      </c>
      <c r="M24" s="27" t="s">
        <v>4</v>
      </c>
      <c r="N24" s="27" t="s">
        <v>100</v>
      </c>
    </row>
    <row r="25" spans="1:22" ht="15.75" x14ac:dyDescent="0.25">
      <c r="A25" s="28" t="s">
        <v>54</v>
      </c>
      <c r="B25" s="16" t="s">
        <v>53</v>
      </c>
      <c r="C25" s="37" t="s">
        <v>88</v>
      </c>
      <c r="D25" s="37" t="s">
        <v>68</v>
      </c>
      <c r="E25" s="29" t="s">
        <v>55</v>
      </c>
      <c r="F25" s="30"/>
      <c r="G25" s="31"/>
      <c r="H25" s="23">
        <f t="shared" ref="H25:H64" si="0">G25*(F25*1)</f>
        <v>0</v>
      </c>
      <c r="I25" s="31"/>
      <c r="J25" s="32"/>
      <c r="K25" s="33"/>
      <c r="L25" s="26" t="s">
        <v>33</v>
      </c>
      <c r="M25" s="27" t="s">
        <v>9</v>
      </c>
      <c r="N25" s="27" t="s">
        <v>100</v>
      </c>
    </row>
    <row r="26" spans="1:22" ht="15.75" x14ac:dyDescent="0.25">
      <c r="A26" s="54" t="s">
        <v>57</v>
      </c>
      <c r="B26" s="55" t="s">
        <v>56</v>
      </c>
      <c r="C26" s="56" t="s">
        <v>61</v>
      </c>
      <c r="D26" s="56" t="s">
        <v>67</v>
      </c>
      <c r="E26" s="57" t="s">
        <v>55</v>
      </c>
      <c r="F26" s="58"/>
      <c r="G26" s="59"/>
      <c r="H26" s="60">
        <f t="shared" si="0"/>
        <v>0</v>
      </c>
      <c r="I26" s="59"/>
      <c r="J26" s="61"/>
      <c r="K26" s="61"/>
      <c r="L26" s="26" t="s">
        <v>33</v>
      </c>
      <c r="M26" s="27" t="s">
        <v>4</v>
      </c>
      <c r="N26" s="27" t="s">
        <v>100</v>
      </c>
    </row>
    <row r="27" spans="1:22" ht="15.75" x14ac:dyDescent="0.25">
      <c r="A27" s="54" t="s">
        <v>65</v>
      </c>
      <c r="B27" s="55" t="s">
        <v>58</v>
      </c>
      <c r="C27" s="56" t="s">
        <v>89</v>
      </c>
      <c r="D27" s="56" t="s">
        <v>66</v>
      </c>
      <c r="E27" s="57" t="s">
        <v>84</v>
      </c>
      <c r="F27" s="58"/>
      <c r="G27" s="59"/>
      <c r="H27" s="60">
        <f t="shared" si="0"/>
        <v>0</v>
      </c>
      <c r="I27" s="59">
        <v>3000</v>
      </c>
      <c r="J27" s="61"/>
      <c r="K27" s="61"/>
      <c r="L27" s="26" t="s">
        <v>2</v>
      </c>
      <c r="M27" s="27" t="s">
        <v>4</v>
      </c>
      <c r="N27" s="27" t="s">
        <v>100</v>
      </c>
    </row>
    <row r="28" spans="1:22" ht="15.75" x14ac:dyDescent="0.25">
      <c r="A28" s="54" t="s">
        <v>64</v>
      </c>
      <c r="B28" s="55" t="s">
        <v>59</v>
      </c>
      <c r="C28" s="56" t="s">
        <v>90</v>
      </c>
      <c r="D28" s="56" t="s">
        <v>66</v>
      </c>
      <c r="E28" s="57" t="s">
        <v>84</v>
      </c>
      <c r="F28" s="58"/>
      <c r="G28" s="59"/>
      <c r="H28" s="60">
        <f t="shared" si="0"/>
        <v>0</v>
      </c>
      <c r="I28" s="59">
        <v>3000</v>
      </c>
      <c r="J28" s="61"/>
      <c r="K28" s="61"/>
      <c r="L28" s="26" t="s">
        <v>2</v>
      </c>
      <c r="M28" s="27" t="s">
        <v>4</v>
      </c>
      <c r="N28" s="27" t="s">
        <v>100</v>
      </c>
    </row>
    <row r="29" spans="1:22" ht="15.75" x14ac:dyDescent="0.25">
      <c r="A29" s="54" t="s">
        <v>71</v>
      </c>
      <c r="B29" s="55" t="s">
        <v>72</v>
      </c>
      <c r="C29" s="56" t="s">
        <v>91</v>
      </c>
      <c r="D29" s="56" t="s">
        <v>73</v>
      </c>
      <c r="E29" s="57" t="s">
        <v>74</v>
      </c>
      <c r="F29" s="58"/>
      <c r="G29" s="59"/>
      <c r="H29" s="60">
        <f t="shared" si="0"/>
        <v>0</v>
      </c>
      <c r="I29" s="59"/>
      <c r="J29" s="61"/>
      <c r="K29" s="62"/>
      <c r="L29" s="26" t="s">
        <v>2</v>
      </c>
      <c r="M29" s="27" t="s">
        <v>4</v>
      </c>
      <c r="N29" s="27" t="s">
        <v>100</v>
      </c>
    </row>
    <row r="30" spans="1:22" ht="15.75" x14ac:dyDescent="0.25">
      <c r="A30" s="28" t="s">
        <v>94</v>
      </c>
      <c r="B30" s="16" t="s">
        <v>75</v>
      </c>
      <c r="C30" s="37" t="s">
        <v>92</v>
      </c>
      <c r="D30" s="37" t="s">
        <v>76</v>
      </c>
      <c r="E30" s="29" t="s">
        <v>77</v>
      </c>
      <c r="F30" s="30"/>
      <c r="G30" s="31"/>
      <c r="H30" s="23">
        <f t="shared" si="0"/>
        <v>0</v>
      </c>
      <c r="I30" s="31">
        <v>5000</v>
      </c>
      <c r="J30" s="32"/>
      <c r="K30" s="32"/>
      <c r="L30" s="48" t="s">
        <v>2</v>
      </c>
      <c r="M30" s="49" t="s">
        <v>9</v>
      </c>
      <c r="N30" s="49" t="s">
        <v>102</v>
      </c>
    </row>
    <row r="31" spans="1:22" ht="15.75" x14ac:dyDescent="0.25">
      <c r="A31" s="39" t="s">
        <v>80</v>
      </c>
      <c r="B31" s="40" t="s">
        <v>79</v>
      </c>
      <c r="C31" s="41" t="s">
        <v>93</v>
      </c>
      <c r="D31" s="41" t="s">
        <v>81</v>
      </c>
      <c r="E31" s="42" t="s">
        <v>82</v>
      </c>
      <c r="F31" s="43"/>
      <c r="G31" s="44"/>
      <c r="H31" s="45">
        <f t="shared" si="0"/>
        <v>0</v>
      </c>
      <c r="I31" s="44"/>
      <c r="J31" s="46"/>
      <c r="K31" s="46"/>
      <c r="L31" s="48" t="s">
        <v>34</v>
      </c>
      <c r="M31" s="49" t="s">
        <v>4</v>
      </c>
      <c r="N31" s="49" t="s">
        <v>100</v>
      </c>
    </row>
    <row r="32" spans="1:22" ht="15.75" x14ac:dyDescent="0.25">
      <c r="A32" s="39" t="s">
        <v>80</v>
      </c>
      <c r="B32" s="40" t="s">
        <v>78</v>
      </c>
      <c r="C32" s="41" t="s">
        <v>93</v>
      </c>
      <c r="D32" s="41" t="s">
        <v>83</v>
      </c>
      <c r="E32" s="42" t="s">
        <v>82</v>
      </c>
      <c r="F32" s="43"/>
      <c r="G32" s="44"/>
      <c r="H32" s="45">
        <f t="shared" si="0"/>
        <v>0</v>
      </c>
      <c r="I32" s="44"/>
      <c r="J32" s="46"/>
      <c r="K32" s="47"/>
      <c r="L32" s="48" t="s">
        <v>32</v>
      </c>
      <c r="M32" s="49" t="s">
        <v>9</v>
      </c>
      <c r="N32" s="49" t="s">
        <v>100</v>
      </c>
    </row>
    <row r="33" spans="1:14" ht="15.75" x14ac:dyDescent="0.25">
      <c r="A33" s="69"/>
      <c r="B33" s="70"/>
      <c r="C33" s="71"/>
      <c r="D33" s="71"/>
      <c r="E33" s="72"/>
      <c r="F33" s="73"/>
      <c r="G33" s="74"/>
      <c r="H33" s="75"/>
      <c r="I33" s="74"/>
      <c r="J33" s="76"/>
      <c r="K33" s="77"/>
      <c r="L33" s="26"/>
      <c r="M33" s="27"/>
      <c r="N33" s="27"/>
    </row>
    <row r="34" spans="1:14" ht="15.75" x14ac:dyDescent="0.25">
      <c r="A34" s="69"/>
      <c r="B34" s="70"/>
      <c r="C34" s="71"/>
      <c r="D34" s="71"/>
      <c r="E34" s="72"/>
      <c r="F34" s="73"/>
      <c r="G34" s="74"/>
      <c r="H34" s="75"/>
      <c r="I34" s="74"/>
      <c r="J34" s="76"/>
      <c r="K34" s="76"/>
      <c r="L34" s="26"/>
      <c r="M34" s="27"/>
      <c r="N34" s="27"/>
    </row>
    <row r="35" spans="1:14" ht="15.75" x14ac:dyDescent="0.25">
      <c r="A35" s="69"/>
      <c r="B35" s="70"/>
      <c r="C35" s="71"/>
      <c r="D35" s="71"/>
      <c r="E35" s="72"/>
      <c r="F35" s="73"/>
      <c r="G35" s="74"/>
      <c r="H35" s="75"/>
      <c r="I35" s="74"/>
      <c r="J35" s="76"/>
      <c r="K35" s="77"/>
      <c r="L35" s="26"/>
      <c r="M35" s="27"/>
      <c r="N35" s="27"/>
    </row>
    <row r="36" spans="1:14" ht="15.75" x14ac:dyDescent="0.25">
      <c r="A36" s="69"/>
      <c r="B36" s="70"/>
      <c r="C36" s="71"/>
      <c r="D36" s="71"/>
      <c r="E36" s="72"/>
      <c r="F36" s="73"/>
      <c r="G36" s="74"/>
      <c r="H36" s="75"/>
      <c r="I36" s="74"/>
      <c r="J36" s="76"/>
      <c r="K36" s="76"/>
      <c r="L36" s="26"/>
      <c r="M36" s="27"/>
      <c r="N36" s="27"/>
    </row>
    <row r="37" spans="1:14" ht="15.75" x14ac:dyDescent="0.25">
      <c r="A37" s="69"/>
      <c r="B37" s="70"/>
      <c r="C37" s="71"/>
      <c r="D37" s="71"/>
      <c r="E37" s="72"/>
      <c r="F37" s="73"/>
      <c r="G37" s="74"/>
      <c r="H37" s="75"/>
      <c r="I37" s="74"/>
      <c r="J37" s="76"/>
      <c r="K37" s="78"/>
      <c r="L37" s="26"/>
      <c r="M37" s="27"/>
      <c r="N37" s="27"/>
    </row>
    <row r="38" spans="1:14" ht="15.75" x14ac:dyDescent="0.25">
      <c r="A38" s="69"/>
      <c r="B38" s="70"/>
      <c r="C38" s="71"/>
      <c r="D38" s="71"/>
      <c r="E38" s="72"/>
      <c r="F38" s="73"/>
      <c r="G38" s="74"/>
      <c r="H38" s="75"/>
      <c r="I38" s="74"/>
      <c r="J38" s="76"/>
      <c r="K38" s="76"/>
      <c r="L38" s="26"/>
      <c r="M38" s="27"/>
      <c r="N38" s="27"/>
    </row>
    <row r="39" spans="1:14" ht="15.75" x14ac:dyDescent="0.25">
      <c r="A39" s="69"/>
      <c r="B39" s="70"/>
      <c r="C39" s="71"/>
      <c r="D39" s="71"/>
      <c r="E39" s="72"/>
      <c r="F39" s="73"/>
      <c r="G39" s="74"/>
      <c r="H39" s="75"/>
      <c r="I39" s="74"/>
      <c r="J39" s="76"/>
      <c r="K39" s="76"/>
      <c r="L39" s="26"/>
      <c r="M39" s="27"/>
      <c r="N39" s="27"/>
    </row>
    <row r="40" spans="1:14" ht="15.75" x14ac:dyDescent="0.25">
      <c r="A40" s="69"/>
      <c r="B40" s="70"/>
      <c r="C40" s="71"/>
      <c r="D40" s="71"/>
      <c r="E40" s="72"/>
      <c r="F40" s="73"/>
      <c r="G40" s="74"/>
      <c r="H40" s="75"/>
      <c r="I40" s="74"/>
      <c r="J40" s="76"/>
      <c r="K40" s="76"/>
      <c r="L40" s="26"/>
      <c r="M40" s="27"/>
      <c r="N40" s="27"/>
    </row>
    <row r="41" spans="1:14" ht="15.75" x14ac:dyDescent="0.25">
      <c r="A41" s="69"/>
      <c r="B41" s="70"/>
      <c r="C41" s="71"/>
      <c r="D41" s="71"/>
      <c r="E41" s="72"/>
      <c r="F41" s="73"/>
      <c r="G41" s="74"/>
      <c r="H41" s="75"/>
      <c r="I41" s="74"/>
      <c r="J41" s="76"/>
      <c r="K41" s="79"/>
      <c r="L41" s="26"/>
      <c r="M41" s="27"/>
      <c r="N41" s="27"/>
    </row>
    <row r="42" spans="1:14" ht="15.75" x14ac:dyDescent="0.25">
      <c r="A42" s="69"/>
      <c r="B42" s="70"/>
      <c r="C42" s="71"/>
      <c r="D42" s="71"/>
      <c r="E42" s="72"/>
      <c r="F42" s="73"/>
      <c r="G42" s="74"/>
      <c r="H42" s="75"/>
      <c r="I42" s="74"/>
      <c r="J42" s="76"/>
      <c r="K42" s="76"/>
      <c r="L42" s="26"/>
      <c r="M42" s="27"/>
      <c r="N42" s="27"/>
    </row>
    <row r="43" spans="1:14" ht="15.75" x14ac:dyDescent="0.25">
      <c r="A43" s="69"/>
      <c r="B43" s="70"/>
      <c r="C43" s="71"/>
      <c r="D43" s="71"/>
      <c r="E43" s="72"/>
      <c r="F43" s="73"/>
      <c r="G43" s="74"/>
      <c r="H43" s="75"/>
      <c r="I43" s="74"/>
      <c r="J43" s="76"/>
      <c r="K43" s="79"/>
      <c r="L43" s="26"/>
      <c r="M43" s="27"/>
      <c r="N43" s="27"/>
    </row>
    <row r="44" spans="1:14" ht="15.75" x14ac:dyDescent="0.25">
      <c r="A44" s="69"/>
      <c r="B44" s="70"/>
      <c r="C44" s="71"/>
      <c r="D44" s="71"/>
      <c r="E44" s="72"/>
      <c r="F44" s="73"/>
      <c r="G44" s="74"/>
      <c r="H44" s="75"/>
      <c r="I44" s="74"/>
      <c r="J44" s="76"/>
      <c r="K44" s="76"/>
      <c r="L44" s="26"/>
      <c r="M44" s="27"/>
      <c r="N44" s="27"/>
    </row>
    <row r="45" spans="1:14" ht="15.75" x14ac:dyDescent="0.25">
      <c r="A45" s="69"/>
      <c r="B45" s="70"/>
      <c r="C45" s="71"/>
      <c r="D45" s="71"/>
      <c r="E45" s="72"/>
      <c r="F45" s="73"/>
      <c r="G45" s="74"/>
      <c r="H45" s="75"/>
      <c r="I45" s="74"/>
      <c r="J45" s="76"/>
      <c r="K45" s="76"/>
      <c r="L45" s="26"/>
      <c r="M45" s="27"/>
      <c r="N45" s="27"/>
    </row>
    <row r="46" spans="1:14" ht="15.75" x14ac:dyDescent="0.25">
      <c r="A46" s="69"/>
      <c r="B46" s="70"/>
      <c r="C46" s="71"/>
      <c r="D46" s="71"/>
      <c r="E46" s="72"/>
      <c r="F46" s="73"/>
      <c r="G46" s="74"/>
      <c r="H46" s="75"/>
      <c r="I46" s="74"/>
      <c r="J46" s="76"/>
      <c r="K46" s="76"/>
      <c r="L46" s="26"/>
      <c r="M46" s="27"/>
      <c r="N46" s="27"/>
    </row>
    <row r="47" spans="1:14" ht="15.75" x14ac:dyDescent="0.25">
      <c r="A47" s="69"/>
      <c r="B47" s="70"/>
      <c r="C47" s="71"/>
      <c r="D47" s="71"/>
      <c r="E47" s="72"/>
      <c r="F47" s="73"/>
      <c r="G47" s="74"/>
      <c r="H47" s="75"/>
      <c r="I47" s="74"/>
      <c r="J47" s="76"/>
      <c r="K47" s="79"/>
      <c r="L47" s="26"/>
      <c r="M47" s="27"/>
      <c r="N47" s="27"/>
    </row>
    <row r="48" spans="1:14" ht="15.75" x14ac:dyDescent="0.25">
      <c r="A48" s="69"/>
      <c r="B48" s="70"/>
      <c r="C48" s="71"/>
      <c r="D48" s="71"/>
      <c r="E48" s="72"/>
      <c r="F48" s="73"/>
      <c r="G48" s="74"/>
      <c r="H48" s="75"/>
      <c r="I48" s="74"/>
      <c r="J48" s="76"/>
      <c r="K48" s="76"/>
      <c r="L48" s="26"/>
      <c r="M48" s="27"/>
      <c r="N48" s="27"/>
    </row>
    <row r="49" spans="1:14" ht="15.75" x14ac:dyDescent="0.25">
      <c r="A49" s="69"/>
      <c r="B49" s="70"/>
      <c r="C49" s="71"/>
      <c r="D49" s="71"/>
      <c r="E49" s="72"/>
      <c r="F49" s="73"/>
      <c r="G49" s="74"/>
      <c r="H49" s="75"/>
      <c r="I49" s="74"/>
      <c r="J49" s="76"/>
      <c r="K49" s="76"/>
      <c r="L49" s="26"/>
      <c r="M49" s="27"/>
      <c r="N49" s="27"/>
    </row>
    <row r="50" spans="1:14" ht="15.75" x14ac:dyDescent="0.25">
      <c r="A50" s="69"/>
      <c r="B50" s="70"/>
      <c r="C50" s="71"/>
      <c r="D50" s="71"/>
      <c r="E50" s="72"/>
      <c r="F50" s="73"/>
      <c r="G50" s="74"/>
      <c r="H50" s="75"/>
      <c r="I50" s="74"/>
      <c r="J50" s="76"/>
      <c r="K50" s="77"/>
      <c r="L50" s="26"/>
      <c r="M50" s="27"/>
      <c r="N50" s="27"/>
    </row>
    <row r="51" spans="1:14" ht="15.75" x14ac:dyDescent="0.25">
      <c r="A51" s="69"/>
      <c r="B51" s="70"/>
      <c r="C51" s="71"/>
      <c r="D51" s="71"/>
      <c r="E51" s="72"/>
      <c r="F51" s="73"/>
      <c r="G51" s="74"/>
      <c r="H51" s="75"/>
      <c r="I51" s="74"/>
      <c r="J51" s="76"/>
      <c r="K51" s="76"/>
      <c r="L51" s="26"/>
      <c r="M51" s="27"/>
      <c r="N51" s="27"/>
    </row>
    <row r="52" spans="1:14" ht="15.75" x14ac:dyDescent="0.25">
      <c r="A52" s="69"/>
      <c r="B52" s="70"/>
      <c r="C52" s="71"/>
      <c r="D52" s="71"/>
      <c r="E52" s="72"/>
      <c r="F52" s="73"/>
      <c r="G52" s="74"/>
      <c r="H52" s="75"/>
      <c r="I52" s="74"/>
      <c r="J52" s="76"/>
      <c r="K52" s="77"/>
      <c r="L52" s="26"/>
      <c r="M52" s="27"/>
      <c r="N52" s="27"/>
    </row>
    <row r="53" spans="1:14" ht="15.75" x14ac:dyDescent="0.25">
      <c r="A53" s="69"/>
      <c r="B53" s="70"/>
      <c r="C53" s="71"/>
      <c r="D53" s="71"/>
      <c r="E53" s="72"/>
      <c r="F53" s="73"/>
      <c r="G53" s="74"/>
      <c r="H53" s="75"/>
      <c r="I53" s="74"/>
      <c r="J53" s="76"/>
      <c r="K53" s="76"/>
      <c r="L53" s="26"/>
      <c r="M53" s="27"/>
      <c r="N53" s="27"/>
    </row>
    <row r="54" spans="1:14" ht="15.75" x14ac:dyDescent="0.25">
      <c r="A54" s="69"/>
      <c r="B54" s="70"/>
      <c r="C54" s="71"/>
      <c r="D54" s="71"/>
      <c r="E54" s="72"/>
      <c r="F54" s="73"/>
      <c r="G54" s="74"/>
      <c r="H54" s="75"/>
      <c r="I54" s="74"/>
      <c r="J54" s="76"/>
      <c r="K54" s="76"/>
      <c r="L54" s="26"/>
      <c r="M54" s="27"/>
      <c r="N54" s="27"/>
    </row>
    <row r="55" spans="1:14" ht="15.75" x14ac:dyDescent="0.25">
      <c r="A55" s="69"/>
      <c r="B55" s="70"/>
      <c r="C55" s="71"/>
      <c r="D55" s="71"/>
      <c r="E55" s="72"/>
      <c r="F55" s="73"/>
      <c r="G55" s="74"/>
      <c r="H55" s="75"/>
      <c r="I55" s="74"/>
      <c r="J55" s="76"/>
      <c r="K55" s="76"/>
      <c r="L55" s="26"/>
      <c r="M55" s="27"/>
      <c r="N55" s="27"/>
    </row>
    <row r="56" spans="1:14" ht="15.75" x14ac:dyDescent="0.25">
      <c r="A56" s="69"/>
      <c r="B56" s="70"/>
      <c r="C56" s="71"/>
      <c r="D56" s="71"/>
      <c r="E56" s="72"/>
      <c r="F56" s="73"/>
      <c r="G56" s="74"/>
      <c r="H56" s="75"/>
      <c r="I56" s="74"/>
      <c r="J56" s="76"/>
      <c r="K56" s="79"/>
      <c r="L56" s="26"/>
      <c r="M56" s="27"/>
      <c r="N56" s="27"/>
    </row>
    <row r="57" spans="1:14" ht="15.75" x14ac:dyDescent="0.25">
      <c r="A57" s="69"/>
      <c r="B57" s="70"/>
      <c r="C57" s="71"/>
      <c r="D57" s="71"/>
      <c r="E57" s="72"/>
      <c r="F57" s="73"/>
      <c r="G57" s="74"/>
      <c r="H57" s="75"/>
      <c r="I57" s="74"/>
      <c r="J57" s="76"/>
      <c r="K57" s="76"/>
      <c r="L57" s="26"/>
      <c r="M57" s="27"/>
      <c r="N57" s="27"/>
    </row>
    <row r="58" spans="1:14" ht="15.75" x14ac:dyDescent="0.25">
      <c r="A58" s="69"/>
      <c r="B58" s="70"/>
      <c r="C58" s="71"/>
      <c r="D58" s="71"/>
      <c r="E58" s="72"/>
      <c r="F58" s="73"/>
      <c r="G58" s="74"/>
      <c r="H58" s="75"/>
      <c r="I58" s="74"/>
      <c r="J58" s="76"/>
      <c r="K58" s="77"/>
      <c r="L58" s="26"/>
      <c r="M58" s="27"/>
      <c r="N58" s="27"/>
    </row>
    <row r="59" spans="1:14" ht="15.75" x14ac:dyDescent="0.25">
      <c r="A59" s="69"/>
      <c r="B59" s="70"/>
      <c r="C59" s="71"/>
      <c r="D59" s="71"/>
      <c r="E59" s="72"/>
      <c r="F59" s="73"/>
      <c r="G59" s="74"/>
      <c r="H59" s="75"/>
      <c r="I59" s="74"/>
      <c r="J59" s="76"/>
      <c r="K59" s="76"/>
      <c r="L59" s="26"/>
      <c r="M59" s="27"/>
      <c r="N59" s="27"/>
    </row>
    <row r="60" spans="1:14" ht="15.75" x14ac:dyDescent="0.25">
      <c r="A60" s="69"/>
      <c r="B60" s="70"/>
      <c r="C60" s="71"/>
      <c r="D60" s="71"/>
      <c r="E60" s="72"/>
      <c r="F60" s="73"/>
      <c r="G60" s="74"/>
      <c r="H60" s="75"/>
      <c r="I60" s="74"/>
      <c r="J60" s="76"/>
      <c r="K60" s="79"/>
      <c r="L60" s="26"/>
      <c r="M60" s="27"/>
      <c r="N60" s="27"/>
    </row>
    <row r="61" spans="1:14" ht="15.75" x14ac:dyDescent="0.25">
      <c r="A61" s="69"/>
      <c r="B61" s="70"/>
      <c r="C61" s="71"/>
      <c r="D61" s="71"/>
      <c r="E61" s="72"/>
      <c r="F61" s="73"/>
      <c r="G61" s="74"/>
      <c r="H61" s="75"/>
      <c r="I61" s="74"/>
      <c r="J61" s="76"/>
      <c r="K61" s="79"/>
      <c r="L61" s="26"/>
      <c r="M61" s="27"/>
      <c r="N61" s="27"/>
    </row>
    <row r="62" spans="1:14" ht="15.75" x14ac:dyDescent="0.25">
      <c r="A62" s="69"/>
      <c r="B62" s="70"/>
      <c r="C62" s="71"/>
      <c r="D62" s="71"/>
      <c r="E62" s="72"/>
      <c r="F62" s="73"/>
      <c r="G62" s="74"/>
      <c r="H62" s="75"/>
      <c r="I62" s="74"/>
      <c r="J62" s="76"/>
      <c r="K62" s="76"/>
      <c r="L62" s="26"/>
      <c r="M62" s="27"/>
      <c r="N62" s="27"/>
    </row>
    <row r="63" spans="1:14" ht="15.75" x14ac:dyDescent="0.25">
      <c r="A63" s="69"/>
      <c r="B63" s="70"/>
      <c r="C63" s="71"/>
      <c r="D63" s="71"/>
      <c r="E63" s="72"/>
      <c r="F63" s="73"/>
      <c r="G63" s="74"/>
      <c r="H63" s="75"/>
      <c r="I63" s="74"/>
      <c r="J63" s="76"/>
      <c r="K63" s="79"/>
      <c r="L63" s="26"/>
      <c r="M63" s="27"/>
      <c r="N63" s="27"/>
    </row>
    <row r="64" spans="1:14" ht="15.75" x14ac:dyDescent="0.25">
      <c r="A64" s="80"/>
      <c r="B64" s="81"/>
      <c r="C64" s="82"/>
      <c r="D64" s="71"/>
      <c r="E64" s="83"/>
      <c r="F64" s="84"/>
      <c r="G64" s="85"/>
      <c r="H64" s="85"/>
      <c r="I64" s="85"/>
      <c r="J64" s="76"/>
      <c r="K64" s="86"/>
      <c r="L64" s="35"/>
      <c r="M64" s="36"/>
      <c r="N64" s="36"/>
    </row>
    <row r="65" spans="1:14" ht="15.75" x14ac:dyDescent="0.25">
      <c r="A65" s="69"/>
      <c r="B65" s="70"/>
      <c r="C65" s="71"/>
      <c r="D65" s="71"/>
      <c r="E65" s="72"/>
      <c r="F65" s="73"/>
      <c r="G65" s="74"/>
      <c r="H65" s="75"/>
      <c r="I65" s="74"/>
      <c r="J65" s="76"/>
      <c r="K65" s="79"/>
      <c r="L65" s="26"/>
      <c r="M65" s="27"/>
      <c r="N65" s="27"/>
    </row>
    <row r="66" spans="1:14" ht="15.75" x14ac:dyDescent="0.25">
      <c r="A66" s="69"/>
      <c r="B66" s="70"/>
      <c r="C66" s="71"/>
      <c r="D66" s="71"/>
      <c r="E66" s="72"/>
      <c r="F66" s="73"/>
      <c r="G66" s="74"/>
      <c r="H66" s="75"/>
      <c r="I66" s="74"/>
      <c r="J66" s="76"/>
      <c r="K66" s="76"/>
      <c r="L66" s="26"/>
      <c r="M66" s="27"/>
      <c r="N66" s="27"/>
    </row>
    <row r="67" spans="1:14" ht="15.75" x14ac:dyDescent="0.25">
      <c r="A67" s="69"/>
      <c r="B67" s="70"/>
      <c r="C67" s="71"/>
      <c r="D67" s="71"/>
      <c r="E67" s="72"/>
      <c r="F67" s="73"/>
      <c r="G67" s="74"/>
      <c r="H67" s="75"/>
      <c r="I67" s="74"/>
      <c r="J67" s="76"/>
      <c r="K67" s="79"/>
      <c r="L67" s="26"/>
      <c r="M67" s="27"/>
      <c r="N67" s="27"/>
    </row>
    <row r="68" spans="1:14" ht="15.75" x14ac:dyDescent="0.25">
      <c r="A68" s="69"/>
      <c r="B68" s="70"/>
      <c r="C68" s="71"/>
      <c r="D68" s="71"/>
      <c r="E68" s="72"/>
      <c r="F68" s="73"/>
      <c r="G68" s="74"/>
      <c r="H68" s="75"/>
      <c r="I68" s="74"/>
      <c r="J68" s="76"/>
      <c r="K68" s="79"/>
      <c r="L68" s="26"/>
      <c r="M68" s="27"/>
      <c r="N68" s="27"/>
    </row>
    <row r="69" spans="1:14" ht="15.75" x14ac:dyDescent="0.25">
      <c r="A69" s="69"/>
      <c r="B69" s="70"/>
      <c r="C69" s="71"/>
      <c r="D69" s="71"/>
      <c r="E69" s="72"/>
      <c r="F69" s="73"/>
      <c r="G69" s="74"/>
      <c r="H69" s="75"/>
      <c r="I69" s="74"/>
      <c r="J69" s="76"/>
      <c r="K69" s="76"/>
      <c r="L69" s="26"/>
      <c r="M69" s="27"/>
      <c r="N69" s="27"/>
    </row>
    <row r="70" spans="1:14" ht="15.75" x14ac:dyDescent="0.25">
      <c r="A70" s="69"/>
      <c r="B70" s="70"/>
      <c r="C70" s="71"/>
      <c r="D70" s="71"/>
      <c r="E70" s="72"/>
      <c r="F70" s="73"/>
      <c r="G70" s="74"/>
      <c r="H70" s="75"/>
      <c r="I70" s="74"/>
      <c r="J70" s="76"/>
      <c r="K70" s="79"/>
      <c r="L70" s="26"/>
      <c r="M70" s="27"/>
      <c r="N70" s="27"/>
    </row>
    <row r="71" spans="1:14" ht="15.75" x14ac:dyDescent="0.25">
      <c r="A71" s="69"/>
      <c r="B71" s="70"/>
      <c r="C71" s="71"/>
      <c r="D71" s="71"/>
      <c r="E71" s="72"/>
      <c r="F71" s="73"/>
      <c r="G71" s="74"/>
      <c r="H71" s="75"/>
      <c r="I71" s="74"/>
      <c r="J71" s="76"/>
      <c r="K71" s="79"/>
      <c r="L71" s="26"/>
      <c r="M71" s="27"/>
      <c r="N71" s="27"/>
    </row>
    <row r="72" spans="1:14" s="50" customFormat="1" ht="15.75" x14ac:dyDescent="0.25">
      <c r="A72" s="69"/>
      <c r="B72" s="70"/>
      <c r="C72" s="71"/>
      <c r="D72" s="71"/>
      <c r="E72" s="72"/>
      <c r="F72" s="73"/>
      <c r="G72" s="74"/>
      <c r="H72" s="75"/>
      <c r="I72" s="74"/>
      <c r="J72" s="76"/>
      <c r="K72" s="79"/>
      <c r="L72" s="26"/>
      <c r="M72" s="27"/>
      <c r="N72" s="27"/>
    </row>
    <row r="73" spans="1:14" ht="15.75" x14ac:dyDescent="0.25">
      <c r="A73" s="69"/>
      <c r="B73" s="70"/>
      <c r="C73" s="71"/>
      <c r="D73" s="71"/>
      <c r="E73" s="72"/>
      <c r="F73" s="73"/>
      <c r="G73" s="74"/>
      <c r="H73" s="75"/>
      <c r="I73" s="74"/>
      <c r="J73" s="76"/>
      <c r="K73" s="76"/>
      <c r="L73" s="26"/>
      <c r="M73" s="27"/>
      <c r="N73" s="27"/>
    </row>
    <row r="74" spans="1:14" s="50" customFormat="1" ht="15.75" x14ac:dyDescent="0.25">
      <c r="A74" s="69"/>
      <c r="B74" s="70"/>
      <c r="C74" s="71"/>
      <c r="D74" s="71"/>
      <c r="E74" s="72"/>
      <c r="F74" s="73"/>
      <c r="G74" s="74"/>
      <c r="H74" s="75"/>
      <c r="I74" s="74"/>
      <c r="J74" s="76"/>
      <c r="K74" s="79"/>
      <c r="L74" s="26"/>
      <c r="M74" s="27"/>
      <c r="N74" s="27"/>
    </row>
    <row r="75" spans="1:14" s="50" customFormat="1" ht="15.75" x14ac:dyDescent="0.25">
      <c r="A75" s="69"/>
      <c r="B75" s="70"/>
      <c r="C75" s="71"/>
      <c r="D75" s="71"/>
      <c r="E75" s="72"/>
      <c r="F75" s="73"/>
      <c r="G75" s="74"/>
      <c r="H75" s="75"/>
      <c r="I75" s="74"/>
      <c r="J75" s="76"/>
      <c r="K75" s="79"/>
      <c r="L75" s="26"/>
      <c r="M75" s="27"/>
      <c r="N75" s="27"/>
    </row>
    <row r="76" spans="1:14" s="50" customFormat="1" ht="15.75" x14ac:dyDescent="0.25">
      <c r="A76" s="69"/>
      <c r="B76" s="70"/>
      <c r="C76" s="71"/>
      <c r="D76" s="71"/>
      <c r="E76" s="72"/>
      <c r="F76" s="73"/>
      <c r="G76" s="74"/>
      <c r="H76" s="75"/>
      <c r="I76" s="74"/>
      <c r="J76" s="76"/>
      <c r="K76" s="79"/>
      <c r="L76" s="26"/>
      <c r="M76" s="27"/>
      <c r="N76" s="27"/>
    </row>
    <row r="77" spans="1:14" s="50" customFormat="1" ht="15.75" x14ac:dyDescent="0.25">
      <c r="A77" s="69"/>
      <c r="B77" s="70"/>
      <c r="C77" s="71"/>
      <c r="D77" s="71"/>
      <c r="E77" s="72"/>
      <c r="F77" s="73"/>
      <c r="G77" s="74"/>
      <c r="H77" s="75"/>
      <c r="I77" s="74"/>
      <c r="J77" s="76"/>
      <c r="K77" s="79"/>
      <c r="L77" s="26"/>
      <c r="M77" s="27"/>
      <c r="N77" s="27"/>
    </row>
    <row r="78" spans="1:14" s="50" customFormat="1" ht="15.75" x14ac:dyDescent="0.25">
      <c r="A78" s="69"/>
      <c r="B78" s="70"/>
      <c r="C78" s="71"/>
      <c r="D78" s="71"/>
      <c r="E78" s="72"/>
      <c r="F78" s="73"/>
      <c r="G78" s="74"/>
      <c r="H78" s="75"/>
      <c r="I78" s="74"/>
      <c r="J78" s="76"/>
      <c r="K78" s="79"/>
      <c r="L78" s="26"/>
      <c r="M78" s="27"/>
      <c r="N78" s="27"/>
    </row>
    <row r="79" spans="1:14" s="50" customFormat="1" ht="15.75" x14ac:dyDescent="0.25">
      <c r="A79" s="69"/>
      <c r="B79" s="70"/>
      <c r="C79" s="71"/>
      <c r="D79" s="71"/>
      <c r="E79" s="72"/>
      <c r="F79" s="73"/>
      <c r="G79" s="74"/>
      <c r="H79" s="75"/>
      <c r="I79" s="74"/>
      <c r="J79" s="76"/>
      <c r="K79" s="79"/>
      <c r="L79" s="26"/>
      <c r="M79" s="27"/>
      <c r="N79" s="27"/>
    </row>
    <row r="80" spans="1:14" s="50" customFormat="1" ht="15.75" x14ac:dyDescent="0.25">
      <c r="A80" s="69"/>
      <c r="B80" s="70"/>
      <c r="C80" s="71"/>
      <c r="D80" s="71"/>
      <c r="E80" s="72"/>
      <c r="F80" s="73"/>
      <c r="G80" s="74"/>
      <c r="H80" s="75"/>
      <c r="I80" s="74"/>
      <c r="J80" s="76"/>
      <c r="K80" s="79"/>
      <c r="L80" s="26"/>
      <c r="M80" s="27"/>
      <c r="N80" s="27"/>
    </row>
    <row r="81" spans="1:14" s="50" customFormat="1" ht="15.75" x14ac:dyDescent="0.25">
      <c r="A81" s="69"/>
      <c r="B81" s="70"/>
      <c r="C81" s="71"/>
      <c r="D81" s="71"/>
      <c r="E81" s="72"/>
      <c r="F81" s="73"/>
      <c r="G81" s="74"/>
      <c r="H81" s="75"/>
      <c r="I81" s="74"/>
      <c r="J81" s="76"/>
      <c r="K81" s="79"/>
      <c r="L81" s="26"/>
      <c r="M81" s="27"/>
      <c r="N81" s="27"/>
    </row>
    <row r="82" spans="1:14" s="50" customFormat="1" ht="15.75" x14ac:dyDescent="0.25">
      <c r="A82" s="69"/>
      <c r="B82" s="70"/>
      <c r="C82" s="71"/>
      <c r="D82" s="71"/>
      <c r="E82" s="72"/>
      <c r="F82" s="73"/>
      <c r="G82" s="74"/>
      <c r="H82" s="75"/>
      <c r="I82" s="74"/>
      <c r="J82" s="76"/>
      <c r="K82" s="79"/>
      <c r="L82" s="26"/>
      <c r="M82" s="27"/>
      <c r="N82" s="27"/>
    </row>
    <row r="83" spans="1:14" s="50" customFormat="1" ht="15.75" x14ac:dyDescent="0.25">
      <c r="A83" s="69"/>
      <c r="B83" s="70"/>
      <c r="C83" s="71"/>
      <c r="D83" s="71"/>
      <c r="E83" s="72"/>
      <c r="F83" s="73"/>
      <c r="G83" s="74"/>
      <c r="H83" s="75"/>
      <c r="I83" s="74"/>
      <c r="J83" s="76"/>
      <c r="K83" s="79"/>
      <c r="L83" s="26"/>
      <c r="M83" s="27"/>
      <c r="N83" s="27"/>
    </row>
    <row r="84" spans="1:14" ht="15.75" x14ac:dyDescent="0.25">
      <c r="A84" s="69"/>
      <c r="B84" s="70"/>
      <c r="C84" s="71"/>
      <c r="D84" s="71"/>
      <c r="E84" s="72"/>
      <c r="F84" s="73"/>
      <c r="G84" s="74"/>
      <c r="H84" s="75"/>
      <c r="I84" s="74"/>
      <c r="J84" s="76"/>
      <c r="K84" s="79"/>
      <c r="L84" s="26"/>
      <c r="M84" s="27"/>
      <c r="N84" s="27"/>
    </row>
    <row r="85" spans="1:14" ht="15.75" x14ac:dyDescent="0.25">
      <c r="A85" s="69"/>
      <c r="B85" s="70"/>
      <c r="C85" s="71"/>
      <c r="D85" s="71"/>
      <c r="E85" s="72"/>
      <c r="F85" s="73"/>
      <c r="G85" s="74"/>
      <c r="H85" s="75"/>
      <c r="I85" s="74"/>
      <c r="J85" s="76"/>
      <c r="K85" s="79"/>
      <c r="L85" s="26"/>
      <c r="M85" s="27"/>
      <c r="N85" s="27"/>
    </row>
    <row r="86" spans="1:14" ht="15.75" x14ac:dyDescent="0.25">
      <c r="A86" s="69"/>
      <c r="B86" s="70"/>
      <c r="C86" s="71"/>
      <c r="D86" s="71"/>
      <c r="E86" s="72"/>
      <c r="F86" s="73"/>
      <c r="G86" s="74"/>
      <c r="H86" s="75"/>
      <c r="I86" s="74"/>
      <c r="J86" s="76"/>
      <c r="K86" s="79"/>
      <c r="L86" s="26"/>
      <c r="M86" s="27"/>
      <c r="N86" s="27"/>
    </row>
    <row r="87" spans="1:14" ht="15.75" x14ac:dyDescent="0.25">
      <c r="A87" s="69"/>
      <c r="B87" s="70"/>
      <c r="C87" s="71"/>
      <c r="D87" s="71"/>
      <c r="E87" s="72"/>
      <c r="F87" s="73"/>
      <c r="G87" s="74"/>
      <c r="H87" s="75"/>
      <c r="I87" s="74"/>
      <c r="J87" s="76"/>
      <c r="K87" s="79"/>
      <c r="L87" s="26"/>
      <c r="M87" s="27"/>
      <c r="N87" s="27"/>
    </row>
    <row r="88" spans="1:14" ht="15.75" x14ac:dyDescent="0.25">
      <c r="A88" s="69"/>
      <c r="B88" s="70"/>
      <c r="C88" s="71"/>
      <c r="D88" s="71"/>
      <c r="E88" s="72"/>
      <c r="F88" s="73"/>
      <c r="G88" s="74"/>
      <c r="H88" s="75"/>
      <c r="I88" s="74"/>
      <c r="J88" s="76"/>
      <c r="K88" s="79"/>
      <c r="L88" s="26"/>
      <c r="M88" s="27"/>
      <c r="N88" s="27"/>
    </row>
    <row r="89" spans="1:14" ht="15.75" x14ac:dyDescent="0.25">
      <c r="A89" s="69"/>
      <c r="B89" s="70"/>
      <c r="C89" s="71"/>
      <c r="D89" s="71"/>
      <c r="E89" s="72"/>
      <c r="F89" s="73"/>
      <c r="G89" s="74"/>
      <c r="H89" s="75"/>
      <c r="I89" s="74"/>
      <c r="J89" s="76"/>
      <c r="K89" s="79"/>
      <c r="L89" s="26"/>
      <c r="M89" s="27"/>
      <c r="N89" s="27"/>
    </row>
    <row r="90" spans="1:14" ht="15.75" x14ac:dyDescent="0.25">
      <c r="A90" s="69"/>
      <c r="B90" s="70"/>
      <c r="C90" s="71"/>
      <c r="D90" s="71"/>
      <c r="E90" s="72"/>
      <c r="F90" s="73"/>
      <c r="G90" s="74"/>
      <c r="H90" s="75"/>
      <c r="I90" s="74"/>
      <c r="J90" s="76"/>
      <c r="K90" s="79"/>
      <c r="L90" s="26"/>
      <c r="M90" s="27"/>
      <c r="N90" s="27"/>
    </row>
    <row r="91" spans="1:14" ht="15.75" x14ac:dyDescent="0.25">
      <c r="A91" s="69"/>
      <c r="B91" s="70"/>
      <c r="C91" s="71"/>
      <c r="D91" s="71"/>
      <c r="E91" s="72"/>
      <c r="F91" s="73"/>
      <c r="G91" s="74"/>
      <c r="H91" s="75"/>
      <c r="I91" s="74"/>
      <c r="J91" s="76"/>
      <c r="K91" s="79"/>
      <c r="L91" s="26"/>
      <c r="M91" s="27"/>
      <c r="N91" s="27"/>
    </row>
    <row r="92" spans="1:14" ht="15.75" x14ac:dyDescent="0.25">
      <c r="A92" s="69"/>
      <c r="B92" s="70"/>
      <c r="C92" s="71"/>
      <c r="D92" s="71"/>
      <c r="E92" s="72"/>
      <c r="F92" s="73"/>
      <c r="G92" s="74"/>
      <c r="H92" s="75"/>
      <c r="I92" s="74"/>
      <c r="J92" s="76"/>
      <c r="K92" s="79"/>
      <c r="L92" s="26"/>
      <c r="M92" s="27"/>
      <c r="N92" s="27"/>
    </row>
    <row r="93" spans="1:14" ht="15.75" x14ac:dyDescent="0.25">
      <c r="A93" s="69"/>
      <c r="B93" s="70"/>
      <c r="C93" s="71"/>
      <c r="D93" s="71"/>
      <c r="E93" s="72"/>
      <c r="F93" s="73"/>
      <c r="G93" s="74"/>
      <c r="H93" s="75"/>
      <c r="I93" s="74"/>
      <c r="J93" s="76"/>
      <c r="K93" s="79"/>
      <c r="L93" s="26"/>
      <c r="M93" s="27"/>
      <c r="N93" s="27"/>
    </row>
    <row r="94" spans="1:14" ht="15.75" x14ac:dyDescent="0.25">
      <c r="A94" s="69"/>
      <c r="B94" s="70"/>
      <c r="C94" s="71"/>
      <c r="D94" s="71"/>
      <c r="E94" s="72"/>
      <c r="F94" s="73"/>
      <c r="G94" s="74"/>
      <c r="H94" s="75"/>
      <c r="I94" s="74"/>
      <c r="J94" s="76"/>
      <c r="K94" s="79"/>
      <c r="L94" s="26"/>
      <c r="M94" s="27"/>
      <c r="N94" s="27"/>
    </row>
    <row r="95" spans="1:14" ht="15.75" x14ac:dyDescent="0.25">
      <c r="A95" s="69"/>
      <c r="B95" s="70"/>
      <c r="C95" s="71"/>
      <c r="D95" s="71"/>
      <c r="E95" s="72"/>
      <c r="F95" s="73"/>
      <c r="G95" s="74"/>
      <c r="H95" s="75"/>
      <c r="I95" s="74"/>
      <c r="J95" s="76"/>
      <c r="K95" s="79"/>
      <c r="L95" s="26"/>
      <c r="M95" s="27"/>
      <c r="N95" s="27"/>
    </row>
    <row r="96" spans="1:14" ht="15.75" x14ac:dyDescent="0.25">
      <c r="A96" s="69"/>
      <c r="B96" s="70"/>
      <c r="C96" s="71"/>
      <c r="D96" s="71"/>
      <c r="E96" s="72"/>
      <c r="F96" s="73"/>
      <c r="G96" s="74"/>
      <c r="H96" s="75"/>
      <c r="I96" s="74"/>
      <c r="J96" s="76"/>
      <c r="K96" s="79"/>
      <c r="L96" s="26"/>
      <c r="M96" s="27"/>
      <c r="N96" s="27"/>
    </row>
    <row r="97" spans="1:14" ht="15.75" x14ac:dyDescent="0.25">
      <c r="A97" s="69"/>
      <c r="B97" s="70"/>
      <c r="C97" s="71"/>
      <c r="D97" s="71"/>
      <c r="E97" s="72"/>
      <c r="F97" s="73"/>
      <c r="G97" s="74"/>
      <c r="H97" s="75"/>
      <c r="I97" s="74"/>
      <c r="J97" s="76"/>
      <c r="K97" s="79"/>
      <c r="L97" s="26"/>
      <c r="M97" s="27"/>
      <c r="N97" s="27"/>
    </row>
    <row r="98" spans="1:14" ht="15.75" x14ac:dyDescent="0.25">
      <c r="A98" s="69"/>
      <c r="B98" s="70"/>
      <c r="C98" s="71"/>
      <c r="D98" s="71"/>
      <c r="E98" s="72"/>
      <c r="F98" s="73"/>
      <c r="G98" s="74"/>
      <c r="H98" s="75"/>
      <c r="I98" s="74"/>
      <c r="J98" s="76"/>
      <c r="K98" s="79"/>
      <c r="L98" s="26"/>
      <c r="M98" s="27"/>
      <c r="N98" s="27"/>
    </row>
    <row r="99" spans="1:14" ht="15.75" x14ac:dyDescent="0.25">
      <c r="A99" s="69"/>
      <c r="B99" s="70"/>
      <c r="C99" s="71"/>
      <c r="D99" s="71"/>
      <c r="E99" s="72"/>
      <c r="F99" s="73"/>
      <c r="G99" s="74"/>
      <c r="H99" s="75"/>
      <c r="I99" s="74"/>
      <c r="J99" s="76"/>
      <c r="K99" s="79"/>
      <c r="L99" s="26"/>
      <c r="M99" s="27"/>
      <c r="N99" s="27"/>
    </row>
    <row r="100" spans="1:14" ht="15.75" x14ac:dyDescent="0.25">
      <c r="A100" s="28"/>
      <c r="B100" s="16" t="s">
        <v>95</v>
      </c>
      <c r="C100" s="37"/>
      <c r="D100" s="37"/>
      <c r="E100" s="29"/>
      <c r="F100" s="30"/>
      <c r="G100" s="31"/>
      <c r="H100" s="23"/>
      <c r="I100" s="31"/>
      <c r="J100" s="32"/>
      <c r="K100" s="34"/>
      <c r="L100" s="26"/>
      <c r="M100" s="27"/>
      <c r="N100" s="27"/>
    </row>
    <row r="101" spans="1:14" ht="15.75" x14ac:dyDescent="0.25">
      <c r="A101" s="28"/>
      <c r="B101" s="16" t="s">
        <v>95</v>
      </c>
      <c r="C101" s="37"/>
      <c r="D101" s="37"/>
      <c r="E101" s="29"/>
      <c r="F101" s="30"/>
      <c r="G101" s="31"/>
      <c r="H101" s="23"/>
      <c r="I101" s="31"/>
      <c r="J101" s="32"/>
      <c r="K101" s="34"/>
      <c r="L101" s="26"/>
      <c r="M101" s="27"/>
      <c r="N101" s="27"/>
    </row>
    <row r="102" spans="1:14" ht="15.75" x14ac:dyDescent="0.25">
      <c r="A102" s="28"/>
      <c r="B102" s="16" t="s">
        <v>95</v>
      </c>
      <c r="C102" s="37"/>
      <c r="D102" s="37"/>
      <c r="E102" s="29"/>
      <c r="F102" s="30"/>
      <c r="G102" s="31"/>
      <c r="H102" s="23"/>
      <c r="I102" s="31"/>
      <c r="J102" s="32"/>
      <c r="K102" s="34"/>
      <c r="L102" s="26"/>
      <c r="M102" s="27"/>
      <c r="N102" s="27"/>
    </row>
    <row r="103" spans="1:14" ht="15.75" x14ac:dyDescent="0.25">
      <c r="A103" s="28"/>
      <c r="B103" s="16" t="s">
        <v>95</v>
      </c>
      <c r="C103" s="37"/>
      <c r="D103" s="37"/>
      <c r="E103" s="29"/>
      <c r="F103" s="30"/>
      <c r="G103" s="31"/>
      <c r="H103" s="23"/>
      <c r="I103" s="31"/>
      <c r="J103" s="32"/>
      <c r="K103" s="34"/>
      <c r="L103" s="26"/>
      <c r="M103" s="27"/>
      <c r="N103" s="27"/>
    </row>
    <row r="104" spans="1:14" ht="15.75" x14ac:dyDescent="0.25">
      <c r="A104" s="28"/>
      <c r="B104" s="16" t="s">
        <v>95</v>
      </c>
      <c r="C104" s="37"/>
      <c r="D104" s="37"/>
      <c r="E104" s="29"/>
      <c r="F104" s="30"/>
      <c r="G104" s="31"/>
      <c r="H104" s="23"/>
      <c r="I104" s="31"/>
      <c r="J104" s="32"/>
      <c r="K104" s="34"/>
      <c r="L104" s="26"/>
      <c r="M104" s="27"/>
      <c r="N104" s="27"/>
    </row>
    <row r="105" spans="1:14" ht="15.75" x14ac:dyDescent="0.25">
      <c r="A105" s="28"/>
      <c r="B105" s="16" t="s">
        <v>95</v>
      </c>
      <c r="C105" s="37"/>
      <c r="D105" s="37"/>
      <c r="E105" s="29"/>
      <c r="F105" s="30"/>
      <c r="G105" s="31"/>
      <c r="H105" s="23"/>
      <c r="I105" s="31"/>
      <c r="J105" s="32"/>
      <c r="K105" s="34"/>
      <c r="L105" s="26"/>
      <c r="M105" s="27"/>
      <c r="N105" s="27"/>
    </row>
    <row r="106" spans="1:14" ht="15.75" x14ac:dyDescent="0.25">
      <c r="A106" s="28"/>
      <c r="B106" s="16" t="s">
        <v>95</v>
      </c>
      <c r="C106" s="37"/>
      <c r="D106" s="37"/>
      <c r="E106" s="29"/>
      <c r="F106" s="30"/>
      <c r="G106" s="31"/>
      <c r="H106" s="23"/>
      <c r="I106" s="31"/>
      <c r="J106" s="32"/>
      <c r="K106" s="34"/>
      <c r="L106" s="26"/>
      <c r="M106" s="27"/>
      <c r="N106" s="27"/>
    </row>
    <row r="107" spans="1:14" ht="15.75" x14ac:dyDescent="0.25">
      <c r="A107" s="28"/>
      <c r="B107" s="16" t="s">
        <v>95</v>
      </c>
      <c r="C107" s="37"/>
      <c r="D107" s="37"/>
      <c r="E107" s="29"/>
      <c r="F107" s="30"/>
      <c r="G107" s="31"/>
      <c r="H107" s="23"/>
      <c r="I107" s="31"/>
      <c r="J107" s="32"/>
      <c r="K107" s="34"/>
      <c r="L107" s="26"/>
      <c r="M107" s="27"/>
      <c r="N107" s="27"/>
    </row>
    <row r="108" spans="1:14" ht="15.75" x14ac:dyDescent="0.25">
      <c r="A108" s="28"/>
      <c r="B108" s="16" t="s">
        <v>95</v>
      </c>
      <c r="C108" s="37"/>
      <c r="D108" s="37"/>
      <c r="E108" s="29"/>
      <c r="F108" s="30"/>
      <c r="G108" s="31"/>
      <c r="H108" s="23"/>
      <c r="I108" s="31"/>
      <c r="J108" s="32"/>
      <c r="K108" s="34"/>
      <c r="L108" s="26"/>
      <c r="M108" s="27"/>
      <c r="N108" s="27"/>
    </row>
    <row r="109" spans="1:14" ht="15.75" x14ac:dyDescent="0.25">
      <c r="A109" s="28"/>
      <c r="B109" s="16" t="s">
        <v>95</v>
      </c>
      <c r="C109" s="37"/>
      <c r="D109" s="37"/>
      <c r="E109" s="29"/>
      <c r="F109" s="30"/>
      <c r="G109" s="31"/>
      <c r="H109" s="23"/>
      <c r="I109" s="31"/>
      <c r="J109" s="32"/>
      <c r="K109" s="34"/>
      <c r="L109" s="26"/>
      <c r="M109" s="27"/>
      <c r="N109" s="27"/>
    </row>
    <row r="110" spans="1:14" ht="15.75" x14ac:dyDescent="0.25">
      <c r="A110" s="28"/>
      <c r="B110" s="16" t="s">
        <v>95</v>
      </c>
      <c r="C110" s="37"/>
      <c r="D110" s="37"/>
      <c r="E110" s="29"/>
      <c r="F110" s="30"/>
      <c r="G110" s="31"/>
      <c r="H110" s="23"/>
      <c r="I110" s="31"/>
      <c r="J110" s="32"/>
      <c r="K110" s="34"/>
      <c r="L110" s="26"/>
      <c r="M110" s="27"/>
      <c r="N110" s="27"/>
    </row>
    <row r="111" spans="1:14" ht="15.75" x14ac:dyDescent="0.25">
      <c r="A111" s="28"/>
      <c r="B111" s="16" t="s">
        <v>95</v>
      </c>
      <c r="C111" s="37"/>
      <c r="D111" s="37"/>
      <c r="E111" s="29"/>
      <c r="F111" s="30"/>
      <c r="G111" s="31"/>
      <c r="H111" s="23"/>
      <c r="I111" s="31"/>
      <c r="J111" s="32"/>
      <c r="K111" s="34"/>
      <c r="L111" s="26"/>
      <c r="M111" s="27"/>
      <c r="N111" s="27"/>
    </row>
    <row r="112" spans="1:14" ht="15.75" x14ac:dyDescent="0.25">
      <c r="A112" s="28"/>
      <c r="B112" s="16" t="s">
        <v>95</v>
      </c>
      <c r="C112" s="37"/>
      <c r="D112" s="37"/>
      <c r="E112" s="29"/>
      <c r="F112" s="30"/>
      <c r="G112" s="31"/>
      <c r="H112" s="23"/>
      <c r="I112" s="31"/>
      <c r="J112" s="32"/>
      <c r="K112" s="34"/>
      <c r="L112" s="26"/>
      <c r="M112" s="27"/>
      <c r="N112" s="27"/>
    </row>
    <row r="113" spans="1:14" ht="15.75" x14ac:dyDescent="0.25">
      <c r="A113" s="28"/>
      <c r="B113" s="16" t="s">
        <v>95</v>
      </c>
      <c r="C113" s="37"/>
      <c r="D113" s="37"/>
      <c r="E113" s="29"/>
      <c r="F113" s="30"/>
      <c r="G113" s="31"/>
      <c r="H113" s="23"/>
      <c r="I113" s="31"/>
      <c r="J113" s="32"/>
      <c r="K113" s="34"/>
      <c r="L113" s="26"/>
      <c r="M113" s="27"/>
      <c r="N113" s="27"/>
    </row>
    <row r="114" spans="1:14" ht="15.75" x14ac:dyDescent="0.25">
      <c r="A114" s="28"/>
      <c r="B114" s="16" t="s">
        <v>95</v>
      </c>
      <c r="C114" s="37"/>
      <c r="D114" s="37"/>
      <c r="E114" s="29"/>
      <c r="F114" s="30"/>
      <c r="G114" s="31"/>
      <c r="H114" s="23"/>
      <c r="I114" s="31"/>
      <c r="J114" s="32"/>
      <c r="K114" s="34"/>
      <c r="L114" s="26"/>
      <c r="M114" s="27"/>
      <c r="N114" s="27"/>
    </row>
    <row r="115" spans="1:14" ht="15.75" x14ac:dyDescent="0.25">
      <c r="A115" s="28"/>
      <c r="B115" s="16" t="s">
        <v>95</v>
      </c>
      <c r="C115" s="37"/>
      <c r="D115" s="37"/>
      <c r="E115" s="29"/>
      <c r="F115" s="30"/>
      <c r="G115" s="31"/>
      <c r="H115" s="23"/>
      <c r="I115" s="31"/>
      <c r="J115" s="32"/>
      <c r="K115" s="34"/>
      <c r="L115" s="26"/>
      <c r="M115" s="27"/>
      <c r="N115" s="27"/>
    </row>
    <row r="116" spans="1:14" ht="15.75" x14ac:dyDescent="0.25">
      <c r="A116" s="28"/>
      <c r="B116" s="16" t="s">
        <v>95</v>
      </c>
      <c r="C116" s="37"/>
      <c r="D116" s="37"/>
      <c r="E116" s="29"/>
      <c r="F116" s="30"/>
      <c r="G116" s="31"/>
      <c r="H116" s="23"/>
      <c r="I116" s="31"/>
      <c r="J116" s="32"/>
      <c r="K116" s="34"/>
      <c r="L116" s="26"/>
      <c r="M116" s="27"/>
      <c r="N116" s="27"/>
    </row>
    <row r="117" spans="1:14" ht="15.75" x14ac:dyDescent="0.25">
      <c r="A117" s="28"/>
      <c r="B117" s="16" t="s">
        <v>95</v>
      </c>
      <c r="C117" s="37"/>
      <c r="D117" s="37"/>
      <c r="E117" s="29"/>
      <c r="F117" s="30"/>
      <c r="G117" s="31"/>
      <c r="H117" s="23"/>
      <c r="I117" s="31"/>
      <c r="J117" s="32"/>
      <c r="K117" s="34"/>
      <c r="L117" s="26"/>
      <c r="M117" s="27"/>
      <c r="N117" s="27"/>
    </row>
    <row r="118" spans="1:14" ht="15.75" x14ac:dyDescent="0.25">
      <c r="A118" s="28"/>
      <c r="B118" s="16" t="s">
        <v>95</v>
      </c>
      <c r="C118" s="37"/>
      <c r="D118" s="37"/>
      <c r="E118" s="29"/>
      <c r="F118" s="30"/>
      <c r="G118" s="31"/>
      <c r="H118" s="23"/>
      <c r="I118" s="31"/>
      <c r="J118" s="32"/>
      <c r="K118" s="34"/>
      <c r="L118" s="26"/>
      <c r="M118" s="27"/>
      <c r="N118" s="27"/>
    </row>
    <row r="119" spans="1:14" ht="15.75" x14ac:dyDescent="0.25">
      <c r="A119" s="28"/>
      <c r="B119" s="16" t="s">
        <v>95</v>
      </c>
      <c r="C119" s="37"/>
      <c r="D119" s="37"/>
      <c r="E119" s="29"/>
      <c r="F119" s="30"/>
      <c r="G119" s="31"/>
      <c r="H119" s="23"/>
      <c r="I119" s="31"/>
      <c r="J119" s="32"/>
      <c r="K119" s="34"/>
      <c r="L119" s="26"/>
      <c r="M119" s="27"/>
      <c r="N119" s="27"/>
    </row>
    <row r="120" spans="1:14" ht="15.75" x14ac:dyDescent="0.25">
      <c r="A120" s="28"/>
      <c r="B120" s="16" t="s">
        <v>95</v>
      </c>
      <c r="C120" s="37"/>
      <c r="D120" s="37"/>
      <c r="E120" s="29"/>
      <c r="F120" s="30"/>
      <c r="G120" s="31"/>
      <c r="H120" s="23"/>
      <c r="I120" s="31"/>
      <c r="J120" s="32"/>
      <c r="K120" s="34"/>
      <c r="L120" s="26"/>
      <c r="M120" s="27"/>
      <c r="N120" s="27"/>
    </row>
    <row r="121" spans="1:14" ht="15.75" x14ac:dyDescent="0.25">
      <c r="A121" s="28"/>
      <c r="B121" s="16" t="s">
        <v>95</v>
      </c>
      <c r="C121" s="37"/>
      <c r="D121" s="37"/>
      <c r="E121" s="29"/>
      <c r="F121" s="30"/>
      <c r="G121" s="31"/>
      <c r="H121" s="23"/>
      <c r="I121" s="31"/>
      <c r="J121" s="32"/>
      <c r="K121" s="34"/>
      <c r="L121" s="26"/>
      <c r="M121" s="27"/>
      <c r="N121" s="27"/>
    </row>
    <row r="122" spans="1:14" ht="15.75" x14ac:dyDescent="0.25">
      <c r="A122" s="28"/>
      <c r="B122" s="16" t="s">
        <v>95</v>
      </c>
      <c r="C122" s="37"/>
      <c r="D122" s="37"/>
      <c r="E122" s="29"/>
      <c r="F122" s="30"/>
      <c r="G122" s="31"/>
      <c r="H122" s="23"/>
      <c r="I122" s="31"/>
      <c r="J122" s="32"/>
      <c r="K122" s="34"/>
      <c r="L122" s="26"/>
      <c r="M122" s="27"/>
      <c r="N122" s="27"/>
    </row>
    <row r="123" spans="1:14" ht="15.75" x14ac:dyDescent="0.25">
      <c r="A123" s="28"/>
      <c r="B123" s="16" t="s">
        <v>95</v>
      </c>
      <c r="C123" s="37"/>
      <c r="D123" s="37"/>
      <c r="E123" s="29"/>
      <c r="F123" s="30"/>
      <c r="G123" s="31"/>
      <c r="H123" s="23"/>
      <c r="I123" s="31"/>
      <c r="J123" s="32"/>
      <c r="K123" s="34"/>
      <c r="L123" s="26"/>
      <c r="M123" s="27"/>
      <c r="N123" s="27"/>
    </row>
    <row r="124" spans="1:14" ht="15.75" x14ac:dyDescent="0.25">
      <c r="A124" s="28"/>
      <c r="B124" s="16" t="s">
        <v>95</v>
      </c>
      <c r="C124" s="37"/>
      <c r="D124" s="37"/>
      <c r="E124" s="29"/>
      <c r="F124" s="30"/>
      <c r="G124" s="31"/>
      <c r="H124" s="23"/>
      <c r="I124" s="31"/>
      <c r="J124" s="32"/>
      <c r="K124" s="34"/>
      <c r="L124" s="26"/>
      <c r="M124" s="27"/>
      <c r="N124" s="27"/>
    </row>
    <row r="125" spans="1:14" ht="15.75" x14ac:dyDescent="0.25">
      <c r="A125" s="28"/>
      <c r="B125" s="16" t="s">
        <v>95</v>
      </c>
      <c r="C125" s="37"/>
      <c r="D125" s="37"/>
      <c r="E125" s="29"/>
      <c r="F125" s="30"/>
      <c r="G125" s="31"/>
      <c r="H125" s="23"/>
      <c r="I125" s="31"/>
      <c r="J125" s="32"/>
      <c r="K125" s="34"/>
      <c r="L125" s="26"/>
      <c r="M125" s="27"/>
      <c r="N125" s="27"/>
    </row>
    <row r="126" spans="1:14" ht="15.75" x14ac:dyDescent="0.25">
      <c r="A126" s="28"/>
      <c r="B126" s="16" t="s">
        <v>95</v>
      </c>
      <c r="C126" s="37"/>
      <c r="D126" s="37"/>
      <c r="E126" s="29"/>
      <c r="F126" s="30"/>
      <c r="G126" s="31"/>
      <c r="H126" s="23"/>
      <c r="I126" s="31"/>
      <c r="J126" s="32"/>
      <c r="K126" s="34"/>
      <c r="L126" s="26"/>
      <c r="M126" s="27"/>
      <c r="N126" s="27"/>
    </row>
    <row r="127" spans="1:14" ht="15.75" x14ac:dyDescent="0.25">
      <c r="A127" s="28"/>
      <c r="B127" s="16" t="s">
        <v>95</v>
      </c>
      <c r="C127" s="37"/>
      <c r="D127" s="37"/>
      <c r="E127" s="29"/>
      <c r="F127" s="30"/>
      <c r="G127" s="31"/>
      <c r="H127" s="23"/>
      <c r="I127" s="31"/>
      <c r="J127" s="32"/>
      <c r="K127" s="34"/>
      <c r="L127" s="26"/>
      <c r="M127" s="27"/>
      <c r="N127" s="27"/>
    </row>
    <row r="128" spans="1:14" ht="15.75" x14ac:dyDescent="0.25">
      <c r="A128" s="28"/>
      <c r="B128" s="16" t="s">
        <v>95</v>
      </c>
      <c r="C128" s="37"/>
      <c r="D128" s="37"/>
      <c r="E128" s="29"/>
      <c r="F128" s="30"/>
      <c r="G128" s="31"/>
      <c r="H128" s="23"/>
      <c r="I128" s="31"/>
      <c r="J128" s="32"/>
      <c r="K128" s="34"/>
      <c r="L128" s="26"/>
      <c r="M128" s="27"/>
      <c r="N128" s="27"/>
    </row>
    <row r="129" spans="1:14" ht="15.75" x14ac:dyDescent="0.25">
      <c r="A129" s="28"/>
      <c r="B129" s="16" t="s">
        <v>95</v>
      </c>
      <c r="C129" s="37"/>
      <c r="D129" s="37"/>
      <c r="E129" s="29"/>
      <c r="F129" s="30"/>
      <c r="G129" s="31"/>
      <c r="H129" s="23"/>
      <c r="I129" s="31"/>
      <c r="J129" s="32"/>
      <c r="K129" s="34"/>
      <c r="L129" s="26"/>
      <c r="M129" s="27"/>
      <c r="N129" s="27"/>
    </row>
    <row r="130" spans="1:14" ht="15.75" x14ac:dyDescent="0.25">
      <c r="A130" s="28"/>
      <c r="B130" s="16" t="s">
        <v>95</v>
      </c>
      <c r="C130" s="37"/>
      <c r="D130" s="37"/>
      <c r="E130" s="29"/>
      <c r="F130" s="30"/>
      <c r="G130" s="31"/>
      <c r="H130" s="23"/>
      <c r="I130" s="31"/>
      <c r="J130" s="32"/>
      <c r="K130" s="34"/>
      <c r="L130" s="26"/>
      <c r="M130" s="27"/>
      <c r="N130" s="27"/>
    </row>
    <row r="131" spans="1:14" ht="15.75" x14ac:dyDescent="0.25">
      <c r="A131" s="28"/>
      <c r="B131" s="16" t="s">
        <v>95</v>
      </c>
      <c r="C131" s="37"/>
      <c r="D131" s="37"/>
      <c r="E131" s="29"/>
      <c r="F131" s="30"/>
      <c r="G131" s="31"/>
      <c r="H131" s="23"/>
      <c r="I131" s="31"/>
      <c r="J131" s="32"/>
      <c r="K131" s="34"/>
      <c r="L131" s="26"/>
      <c r="M131" s="27"/>
      <c r="N131" s="27"/>
    </row>
    <row r="132" spans="1:14" ht="15.75" x14ac:dyDescent="0.25">
      <c r="A132" s="28"/>
      <c r="B132" s="16" t="s">
        <v>95</v>
      </c>
      <c r="C132" s="37"/>
      <c r="D132" s="37"/>
      <c r="E132" s="29"/>
      <c r="F132" s="30"/>
      <c r="G132" s="31"/>
      <c r="H132" s="23"/>
      <c r="I132" s="31"/>
      <c r="J132" s="32"/>
      <c r="K132" s="34"/>
      <c r="L132" s="26"/>
      <c r="M132" s="27"/>
      <c r="N132" s="27"/>
    </row>
  </sheetData>
  <autoFilter ref="A22:A64"/>
  <mergeCells count="3">
    <mergeCell ref="A1:M5"/>
    <mergeCell ref="F21:H21"/>
    <mergeCell ref="I21:K21"/>
  </mergeCells>
  <conditionalFormatting sqref="L23:L64">
    <cfRule type="cellIs" dxfId="42" priority="45" operator="equal">
      <formula>"Pendente"</formula>
    </cfRule>
    <cfRule type="cellIs" dxfId="41" priority="46" operator="equal">
      <formula>"Pago"</formula>
    </cfRule>
  </conditionalFormatting>
  <conditionalFormatting sqref="M23:M64">
    <cfRule type="cellIs" dxfId="40" priority="43" operator="equal">
      <formula>"Resolvido"</formula>
    </cfRule>
    <cfRule type="cellIs" dxfId="39" priority="44" operator="equal">
      <formula>"Em andamento"</formula>
    </cfRule>
  </conditionalFormatting>
  <conditionalFormatting sqref="L23:L64">
    <cfRule type="cellIs" dxfId="38" priority="42" operator="equal">
      <formula>"P/Parcelado N/Completado"</formula>
    </cfRule>
  </conditionalFormatting>
  <conditionalFormatting sqref="L23:L64">
    <cfRule type="cellIs" dxfId="37" priority="39" operator="equal">
      <formula>"Pagamento na vitória"</formula>
    </cfRule>
    <cfRule type="cellIs" dxfId="36" priority="40" operator="equal">
      <formula>"Pagamento ao final"</formula>
    </cfRule>
  </conditionalFormatting>
  <conditionalFormatting sqref="L23:L64">
    <cfRule type="cellIs" dxfId="35" priority="37" operator="equal">
      <formula>"Pro Bono"</formula>
    </cfRule>
  </conditionalFormatting>
  <conditionalFormatting sqref="L65:L67">
    <cfRule type="cellIs" dxfId="34" priority="35" operator="equal">
      <formula>"Pendente"</formula>
    </cfRule>
    <cfRule type="cellIs" dxfId="33" priority="36" operator="equal">
      <formula>"Pago"</formula>
    </cfRule>
  </conditionalFormatting>
  <conditionalFormatting sqref="M65:M67">
    <cfRule type="cellIs" dxfId="32" priority="33" operator="equal">
      <formula>"Resolvido"</formula>
    </cfRule>
    <cfRule type="cellIs" dxfId="31" priority="34" operator="equal">
      <formula>"Em andamento"</formula>
    </cfRule>
  </conditionalFormatting>
  <conditionalFormatting sqref="L65:L67">
    <cfRule type="cellIs" dxfId="30" priority="32" operator="equal">
      <formula>"P/Parcelado N/Completado"</formula>
    </cfRule>
  </conditionalFormatting>
  <conditionalFormatting sqref="L65:L67">
    <cfRule type="cellIs" dxfId="29" priority="30" operator="equal">
      <formula>"Pagamento na vitória"</formula>
    </cfRule>
    <cfRule type="cellIs" dxfId="28" priority="31" operator="equal">
      <formula>"Pagamento ao final"</formula>
    </cfRule>
  </conditionalFormatting>
  <conditionalFormatting sqref="L65:L67">
    <cfRule type="cellIs" dxfId="27" priority="29" operator="equal">
      <formula>"Pro Bono"</formula>
    </cfRule>
  </conditionalFormatting>
  <conditionalFormatting sqref="L68:L70">
    <cfRule type="cellIs" dxfId="26" priority="27" operator="equal">
      <formula>"Pendente"</formula>
    </cfRule>
    <cfRule type="cellIs" dxfId="25" priority="28" operator="equal">
      <formula>"Pago"</formula>
    </cfRule>
  </conditionalFormatting>
  <conditionalFormatting sqref="M68:M70">
    <cfRule type="cellIs" dxfId="24" priority="25" operator="equal">
      <formula>"Resolvido"</formula>
    </cfRule>
    <cfRule type="cellIs" dxfId="23" priority="26" operator="equal">
      <formula>"Em andamento"</formula>
    </cfRule>
  </conditionalFormatting>
  <conditionalFormatting sqref="L68:L70">
    <cfRule type="cellIs" dxfId="22" priority="24" operator="equal">
      <formula>"P/Parcelado N/Completado"</formula>
    </cfRule>
  </conditionalFormatting>
  <conditionalFormatting sqref="L68:L70">
    <cfRule type="cellIs" dxfId="21" priority="22" operator="equal">
      <formula>"Pagamento na vitória"</formula>
    </cfRule>
    <cfRule type="cellIs" dxfId="20" priority="23" operator="equal">
      <formula>"Pagamento ao final"</formula>
    </cfRule>
  </conditionalFormatting>
  <conditionalFormatting sqref="L68:L70">
    <cfRule type="cellIs" dxfId="19" priority="21" operator="equal">
      <formula>"Pro Bono"</formula>
    </cfRule>
  </conditionalFormatting>
  <conditionalFormatting sqref="L71:L132">
    <cfRule type="cellIs" dxfId="18" priority="19" operator="equal">
      <formula>"Pendente"</formula>
    </cfRule>
    <cfRule type="cellIs" dxfId="17" priority="20" operator="equal">
      <formula>"Pago"</formula>
    </cfRule>
  </conditionalFormatting>
  <conditionalFormatting sqref="M71:M132">
    <cfRule type="cellIs" dxfId="16" priority="17" operator="equal">
      <formula>"Resolvido"</formula>
    </cfRule>
    <cfRule type="cellIs" dxfId="15" priority="18" operator="equal">
      <formula>"Em andamento"</formula>
    </cfRule>
  </conditionalFormatting>
  <conditionalFormatting sqref="L71:L132">
    <cfRule type="cellIs" dxfId="14" priority="16" operator="equal">
      <formula>"P/Parcelado N/Completado"</formula>
    </cfRule>
  </conditionalFormatting>
  <conditionalFormatting sqref="L71:L132">
    <cfRule type="cellIs" dxfId="13" priority="14" operator="equal">
      <formula>"Pagamento na vitória"</formula>
    </cfRule>
    <cfRule type="cellIs" dxfId="12" priority="15" operator="equal">
      <formula>"Pagamento ao final"</formula>
    </cfRule>
  </conditionalFormatting>
  <conditionalFormatting sqref="L71:L132">
    <cfRule type="cellIs" dxfId="11" priority="13" operator="equal">
      <formula>"Pro Bono"</formula>
    </cfRule>
  </conditionalFormatting>
  <conditionalFormatting sqref="N23:N64">
    <cfRule type="cellIs" dxfId="10" priority="11" operator="equal">
      <formula>"Resolvido"</formula>
    </cfRule>
    <cfRule type="cellIs" dxfId="9" priority="12" operator="equal">
      <formula>"Em andamento"</formula>
    </cfRule>
  </conditionalFormatting>
  <conditionalFormatting sqref="N65:N67">
    <cfRule type="cellIs" dxfId="8" priority="9" operator="equal">
      <formula>"Resolvido"</formula>
    </cfRule>
    <cfRule type="cellIs" dxfId="7" priority="10" operator="equal">
      <formula>"Em andamento"</formula>
    </cfRule>
  </conditionalFormatting>
  <conditionalFormatting sqref="N68:N70">
    <cfRule type="cellIs" dxfId="6" priority="7" operator="equal">
      <formula>"Resolvido"</formula>
    </cfRule>
    <cfRule type="cellIs" dxfId="5" priority="8" operator="equal">
      <formula>"Em andamento"</formula>
    </cfRule>
  </conditionalFormatting>
  <conditionalFormatting sqref="N71:N132">
    <cfRule type="cellIs" dxfId="4" priority="5" operator="equal">
      <formula>"Resolvido"</formula>
    </cfRule>
    <cfRule type="cellIs" dxfId="3" priority="6" operator="equal">
      <formula>"Em andamento"</formula>
    </cfRule>
  </conditionalFormatting>
  <conditionalFormatting sqref="N23:N60 N62:N71 N73:N132">
    <cfRule type="containsText" dxfId="2" priority="1" operator="containsText" text="Emitida">
      <formula>NOT(ISERROR(SEARCH("Emitida",N23)))</formula>
    </cfRule>
    <cfRule type="containsText" dxfId="1" priority="2" operator="containsText" text="Não-solicitada">
      <formula>NOT(ISERROR(SEARCH("Não-solicitada",N23)))</formula>
    </cfRule>
    <cfRule type="containsText" dxfId="0" priority="3" operator="containsText" text="Solicitada">
      <formula>NOT(ISERROR(SEARCH("Solicitada",N23)))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Respostas!$D$4:$D$9</xm:f>
          </x14:formula1>
          <xm:sqref>L23:L132</xm:sqref>
        </x14:dataValidation>
        <x14:dataValidation type="list" allowBlank="1" showInputMessage="1" showErrorMessage="1">
          <x14:formula1>
            <xm:f>Respostas!$F$4:$F$5</xm:f>
          </x14:formula1>
          <xm:sqref>M23:M132</xm:sqref>
        </x14:dataValidation>
        <x14:dataValidation type="list" allowBlank="1" showInputMessage="1" showErrorMessage="1">
          <x14:formula1>
            <xm:f>Respostas!$J$4:$J$13</xm:f>
          </x14:formula1>
          <xm:sqref>F23:F132</xm:sqref>
        </x14:dataValidation>
        <x14:dataValidation type="list" allowBlank="1" showInputMessage="1" showErrorMessage="1">
          <x14:formula1>
            <xm:f>Respostas!$L$31:$L$54</xm:f>
          </x14:formula1>
          <xm:sqref>J23:K132</xm:sqref>
        </x14:dataValidation>
        <x14:dataValidation type="list" allowBlank="1" showInputMessage="1" showErrorMessage="1">
          <x14:formula1>
            <xm:f>Respostas!$H$4:$H$6</xm:f>
          </x14:formula1>
          <xm:sqref>N23:N132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4"/>
  <sheetViews>
    <sheetView workbookViewId="0">
      <selection activeCell="H4" sqref="H4"/>
    </sheetView>
  </sheetViews>
  <sheetFormatPr defaultRowHeight="15" x14ac:dyDescent="0.25"/>
  <cols>
    <col min="1" max="1" width="9.140625" style="5"/>
    <col min="2" max="2" width="16.140625" style="5" customWidth="1"/>
    <col min="3" max="3" width="10.7109375" style="5" customWidth="1"/>
    <col min="4" max="4" width="25.28515625" style="5" customWidth="1"/>
    <col min="5" max="5" width="10.7109375" style="5" customWidth="1"/>
    <col min="6" max="6" width="28" style="5" customWidth="1"/>
    <col min="7" max="7" width="9.140625" style="5"/>
    <col min="8" max="8" width="25.28515625" style="5" customWidth="1"/>
    <col min="9" max="11" width="9.140625" style="5"/>
    <col min="12" max="12" width="18.85546875" style="5" customWidth="1"/>
    <col min="13" max="13" width="9.140625" style="5" customWidth="1"/>
    <col min="14" max="16384" width="9.140625" style="5"/>
  </cols>
  <sheetData>
    <row r="3" spans="2:10" x14ac:dyDescent="0.25">
      <c r="B3" s="10" t="s">
        <v>5</v>
      </c>
      <c r="D3" s="10" t="s">
        <v>7</v>
      </c>
      <c r="F3" s="10" t="s">
        <v>8</v>
      </c>
      <c r="H3" s="10" t="s">
        <v>99</v>
      </c>
      <c r="J3" s="10" t="s">
        <v>25</v>
      </c>
    </row>
    <row r="4" spans="2:10" x14ac:dyDescent="0.25">
      <c r="B4" s="12" t="s">
        <v>22</v>
      </c>
      <c r="D4" s="7" t="s">
        <v>2</v>
      </c>
      <c r="F4" s="7" t="s">
        <v>4</v>
      </c>
      <c r="H4" s="7" t="s">
        <v>100</v>
      </c>
      <c r="J4" s="13">
        <v>0.05</v>
      </c>
    </row>
    <row r="5" spans="2:10" x14ac:dyDescent="0.25">
      <c r="B5" s="12" t="s">
        <v>23</v>
      </c>
      <c r="D5" s="8" t="s">
        <v>3</v>
      </c>
      <c r="F5" s="9" t="s">
        <v>9</v>
      </c>
      <c r="H5" s="9" t="s">
        <v>101</v>
      </c>
      <c r="J5" s="13">
        <v>0.1</v>
      </c>
    </row>
    <row r="6" spans="2:10" x14ac:dyDescent="0.25">
      <c r="D6" s="9" t="s">
        <v>31</v>
      </c>
      <c r="H6" s="8" t="s">
        <v>102</v>
      </c>
      <c r="J6" s="13">
        <v>0.15</v>
      </c>
    </row>
    <row r="7" spans="2:10" x14ac:dyDescent="0.25">
      <c r="D7" s="9" t="s">
        <v>32</v>
      </c>
      <c r="J7" s="13">
        <v>0.2</v>
      </c>
    </row>
    <row r="8" spans="2:10" x14ac:dyDescent="0.25">
      <c r="D8" s="9" t="s">
        <v>33</v>
      </c>
      <c r="J8" s="13">
        <v>0.25</v>
      </c>
    </row>
    <row r="9" spans="2:10" x14ac:dyDescent="0.25">
      <c r="D9" s="9" t="s">
        <v>34</v>
      </c>
      <c r="J9" s="13">
        <v>0.3</v>
      </c>
    </row>
    <row r="10" spans="2:10" x14ac:dyDescent="0.25">
      <c r="J10" s="13">
        <v>0.35</v>
      </c>
    </row>
    <row r="11" spans="2:10" x14ac:dyDescent="0.25">
      <c r="J11" s="13">
        <v>0.4</v>
      </c>
    </row>
    <row r="12" spans="2:10" x14ac:dyDescent="0.25">
      <c r="J12" s="13">
        <v>0.45</v>
      </c>
    </row>
    <row r="13" spans="2:10" x14ac:dyDescent="0.25">
      <c r="J13" s="13">
        <v>0.5</v>
      </c>
    </row>
    <row r="18" spans="6:12" x14ac:dyDescent="0.25">
      <c r="F18" s="11"/>
    </row>
    <row r="30" spans="6:12" x14ac:dyDescent="0.25">
      <c r="L30" s="10" t="s">
        <v>21</v>
      </c>
    </row>
    <row r="31" spans="6:12" s="51" customFormat="1" x14ac:dyDescent="0.25">
      <c r="L31" s="10" t="s">
        <v>97</v>
      </c>
    </row>
    <row r="32" spans="6:12" x14ac:dyDescent="0.25">
      <c r="L32" s="2" t="s">
        <v>10</v>
      </c>
    </row>
    <row r="33" spans="12:12" x14ac:dyDescent="0.25">
      <c r="L33" s="2" t="s">
        <v>11</v>
      </c>
    </row>
    <row r="34" spans="12:12" x14ac:dyDescent="0.25">
      <c r="L34" s="2" t="s">
        <v>12</v>
      </c>
    </row>
    <row r="35" spans="12:12" x14ac:dyDescent="0.25">
      <c r="L35" s="2" t="s">
        <v>20</v>
      </c>
    </row>
    <row r="36" spans="12:12" x14ac:dyDescent="0.25">
      <c r="L36" s="2" t="s">
        <v>13</v>
      </c>
    </row>
    <row r="37" spans="12:12" x14ac:dyDescent="0.25">
      <c r="L37" s="2" t="s">
        <v>14</v>
      </c>
    </row>
    <row r="38" spans="12:12" x14ac:dyDescent="0.25">
      <c r="L38" s="2" t="s">
        <v>15</v>
      </c>
    </row>
    <row r="39" spans="12:12" x14ac:dyDescent="0.25">
      <c r="L39" s="2" t="s">
        <v>16</v>
      </c>
    </row>
    <row r="40" spans="12:12" x14ac:dyDescent="0.25">
      <c r="L40" s="2" t="s">
        <v>17</v>
      </c>
    </row>
    <row r="41" spans="12:12" x14ac:dyDescent="0.25">
      <c r="L41" s="2" t="s">
        <v>18</v>
      </c>
    </row>
    <row r="42" spans="12:12" x14ac:dyDescent="0.25">
      <c r="L42" s="2" t="s">
        <v>19</v>
      </c>
    </row>
    <row r="43" spans="12:12" x14ac:dyDescent="0.25">
      <c r="L43" s="2" t="s">
        <v>36</v>
      </c>
    </row>
    <row r="44" spans="12:12" x14ac:dyDescent="0.25">
      <c r="L44" s="2" t="s">
        <v>37</v>
      </c>
    </row>
    <row r="45" spans="12:12" x14ac:dyDescent="0.25">
      <c r="L45" s="2" t="s">
        <v>38</v>
      </c>
    </row>
    <row r="46" spans="12:12" x14ac:dyDescent="0.25">
      <c r="L46" s="2" t="s">
        <v>39</v>
      </c>
    </row>
    <row r="47" spans="12:12" x14ac:dyDescent="0.25">
      <c r="L47" s="2" t="s">
        <v>40</v>
      </c>
    </row>
    <row r="48" spans="12:12" x14ac:dyDescent="0.25">
      <c r="L48" s="2" t="s">
        <v>41</v>
      </c>
    </row>
    <row r="49" spans="12:12" x14ac:dyDescent="0.25">
      <c r="L49" s="2" t="s">
        <v>42</v>
      </c>
    </row>
    <row r="50" spans="12:12" x14ac:dyDescent="0.25">
      <c r="L50" s="2" t="s">
        <v>43</v>
      </c>
    </row>
    <row r="51" spans="12:12" x14ac:dyDescent="0.25">
      <c r="L51" s="2" t="s">
        <v>44</v>
      </c>
    </row>
    <row r="52" spans="12:12" x14ac:dyDescent="0.25">
      <c r="L52" s="2" t="s">
        <v>45</v>
      </c>
    </row>
    <row r="53" spans="12:12" x14ac:dyDescent="0.25">
      <c r="L53" s="2" t="s">
        <v>46</v>
      </c>
    </row>
    <row r="54" spans="12:12" x14ac:dyDescent="0.25">
      <c r="L54" s="2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Teles</dc:creator>
  <cp:lastModifiedBy>Guilherme Teles</cp:lastModifiedBy>
  <cp:lastPrinted>2025-05-01T23:00:49Z</cp:lastPrinted>
  <dcterms:created xsi:type="dcterms:W3CDTF">2024-09-17T01:30:19Z</dcterms:created>
  <dcterms:modified xsi:type="dcterms:W3CDTF">2026-05-15T18:39:21Z</dcterms:modified>
</cp:coreProperties>
</file>